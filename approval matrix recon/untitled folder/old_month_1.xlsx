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deshnab/Projects/automation_projects/approval matrix recon/untitled folder/"/>
    </mc:Choice>
  </mc:AlternateContent>
  <xr:revisionPtr revIDLastSave="0" documentId="13_ncr:1_{E29EA180-8599-2144-94BC-C652B4131DD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old" sheetId="1" r:id="rId1"/>
    <sheet name="new" sheetId="2" r:id="rId2"/>
  </sheets>
  <definedNames>
    <definedName name="_xlnm._FilterDatabase" localSheetId="0" hidden="1">old!$A$1:$M$201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1" i="1" l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<sst xmlns="http://schemas.openxmlformats.org/spreadsheetml/2006/main" count="4206" uniqueCount="606">
  <si>
    <t>Imp</t>
  </si>
  <si>
    <t>Fund_Imp</t>
  </si>
  <si>
    <t>Fund_Description</t>
  </si>
  <si>
    <t>Fund_Dept_ID</t>
  </si>
  <si>
    <t>Fund_Dept_ID_Description</t>
  </si>
  <si>
    <t>Approver_ID</t>
  </si>
  <si>
    <t>Approver_Name</t>
  </si>
  <si>
    <t>Proposed_Invoice_Approver</t>
  </si>
  <si>
    <t>Team</t>
  </si>
  <si>
    <t>Title</t>
  </si>
  <si>
    <t>Threshold_USD</t>
  </si>
  <si>
    <t>F000001</t>
  </si>
  <si>
    <t>F000002</t>
  </si>
  <si>
    <t>F000003</t>
  </si>
  <si>
    <t>F000004</t>
  </si>
  <si>
    <t>F000005</t>
  </si>
  <si>
    <t>F000006</t>
  </si>
  <si>
    <t>F000007</t>
  </si>
  <si>
    <t>F000008</t>
  </si>
  <si>
    <t>F000009</t>
  </si>
  <si>
    <t>F000010</t>
  </si>
  <si>
    <t>F000011</t>
  </si>
  <si>
    <t>F000012</t>
  </si>
  <si>
    <t>F000013</t>
  </si>
  <si>
    <t>F000014</t>
  </si>
  <si>
    <t>F000015</t>
  </si>
  <si>
    <t>F000016</t>
  </si>
  <si>
    <t>F000017</t>
  </si>
  <si>
    <t>F000018</t>
  </si>
  <si>
    <t>F000019</t>
  </si>
  <si>
    <t>F000020</t>
  </si>
  <si>
    <t>F000021</t>
  </si>
  <si>
    <t>F000022</t>
  </si>
  <si>
    <t>F000023</t>
  </si>
  <si>
    <t>F000024</t>
  </si>
  <si>
    <t>F000025</t>
  </si>
  <si>
    <t>F000026</t>
  </si>
  <si>
    <t>F000027</t>
  </si>
  <si>
    <t>F000028</t>
  </si>
  <si>
    <t>F000029</t>
  </si>
  <si>
    <t>F000030</t>
  </si>
  <si>
    <t>F000031</t>
  </si>
  <si>
    <t>F000032</t>
  </si>
  <si>
    <t>F000033</t>
  </si>
  <si>
    <t>F000034</t>
  </si>
  <si>
    <t>F000035</t>
  </si>
  <si>
    <t>F000036</t>
  </si>
  <si>
    <t>F000037</t>
  </si>
  <si>
    <t>F000038</t>
  </si>
  <si>
    <t>F000039</t>
  </si>
  <si>
    <t>F000040</t>
  </si>
  <si>
    <t>F000041</t>
  </si>
  <si>
    <t>F000042</t>
  </si>
  <si>
    <t>F000043</t>
  </si>
  <si>
    <t>F000044</t>
  </si>
  <si>
    <t>F000045</t>
  </si>
  <si>
    <t>F000046</t>
  </si>
  <si>
    <t>F000047</t>
  </si>
  <si>
    <t>F000048</t>
  </si>
  <si>
    <t>F000049</t>
  </si>
  <si>
    <t>F000050</t>
  </si>
  <si>
    <t>F000051</t>
  </si>
  <si>
    <t>F000052</t>
  </si>
  <si>
    <t>F000053</t>
  </si>
  <si>
    <t>F000054</t>
  </si>
  <si>
    <t>F000055</t>
  </si>
  <si>
    <t>F000056</t>
  </si>
  <si>
    <t>F000057</t>
  </si>
  <si>
    <t>F000058</t>
  </si>
  <si>
    <t>F000059</t>
  </si>
  <si>
    <t>F000060</t>
  </si>
  <si>
    <t>F000061</t>
  </si>
  <si>
    <t>F000062</t>
  </si>
  <si>
    <t>F000063</t>
  </si>
  <si>
    <t>F000064</t>
  </si>
  <si>
    <t>F000065</t>
  </si>
  <si>
    <t>F000066</t>
  </si>
  <si>
    <t>F000067</t>
  </si>
  <si>
    <t>F000068</t>
  </si>
  <si>
    <t>F000069</t>
  </si>
  <si>
    <t>F000070</t>
  </si>
  <si>
    <t>F000071</t>
  </si>
  <si>
    <t>F000072</t>
  </si>
  <si>
    <t>F000073</t>
  </si>
  <si>
    <t>F000074</t>
  </si>
  <si>
    <t>F000075</t>
  </si>
  <si>
    <t>F000076</t>
  </si>
  <si>
    <t>F000077</t>
  </si>
  <si>
    <t>F000078</t>
  </si>
  <si>
    <t>F000079</t>
  </si>
  <si>
    <t>F000080</t>
  </si>
  <si>
    <t>F000081</t>
  </si>
  <si>
    <t>F000082</t>
  </si>
  <si>
    <t>F000083</t>
  </si>
  <si>
    <t>F000084</t>
  </si>
  <si>
    <t>F000085</t>
  </si>
  <si>
    <t>F000086</t>
  </si>
  <si>
    <t>F000087</t>
  </si>
  <si>
    <t>F000088</t>
  </si>
  <si>
    <t>F000089</t>
  </si>
  <si>
    <t>F000090</t>
  </si>
  <si>
    <t>F000091</t>
  </si>
  <si>
    <t>F000092</t>
  </si>
  <si>
    <t>F000093</t>
  </si>
  <si>
    <t>F000094</t>
  </si>
  <si>
    <t>F000095</t>
  </si>
  <si>
    <t>F000096</t>
  </si>
  <si>
    <t>F000097</t>
  </si>
  <si>
    <t>F000098</t>
  </si>
  <si>
    <t>F000099</t>
  </si>
  <si>
    <t>F000100</t>
  </si>
  <si>
    <t>F000101</t>
  </si>
  <si>
    <t>F000102</t>
  </si>
  <si>
    <t>F000103</t>
  </si>
  <si>
    <t>F000104</t>
  </si>
  <si>
    <t>F000105</t>
  </si>
  <si>
    <t>F000106</t>
  </si>
  <si>
    <t>F000107</t>
  </si>
  <si>
    <t>F000108</t>
  </si>
  <si>
    <t>F000109</t>
  </si>
  <si>
    <t>F000110</t>
  </si>
  <si>
    <t>F000111</t>
  </si>
  <si>
    <t>F000112</t>
  </si>
  <si>
    <t>F000113</t>
  </si>
  <si>
    <t>F000114</t>
  </si>
  <si>
    <t>F000115</t>
  </si>
  <si>
    <t>F000116</t>
  </si>
  <si>
    <t>F000117</t>
  </si>
  <si>
    <t>F000118</t>
  </si>
  <si>
    <t>F000119</t>
  </si>
  <si>
    <t>F000120</t>
  </si>
  <si>
    <t>F000121</t>
  </si>
  <si>
    <t>F000122</t>
  </si>
  <si>
    <t>F000123</t>
  </si>
  <si>
    <t>F000124</t>
  </si>
  <si>
    <t>F000125</t>
  </si>
  <si>
    <t>F000126</t>
  </si>
  <si>
    <t>F000127</t>
  </si>
  <si>
    <t>F000128</t>
  </si>
  <si>
    <t>F000129</t>
  </si>
  <si>
    <t>F000130</t>
  </si>
  <si>
    <t>F000131</t>
  </si>
  <si>
    <t>F000132</t>
  </si>
  <si>
    <t>F000133</t>
  </si>
  <si>
    <t>F000134</t>
  </si>
  <si>
    <t>F000135</t>
  </si>
  <si>
    <t>F000136</t>
  </si>
  <si>
    <t>F000137</t>
  </si>
  <si>
    <t>F000138</t>
  </si>
  <si>
    <t>F000139</t>
  </si>
  <si>
    <t>F000140</t>
  </si>
  <si>
    <t>F000141</t>
  </si>
  <si>
    <t>F000142</t>
  </si>
  <si>
    <t>F000143</t>
  </si>
  <si>
    <t>F000144</t>
  </si>
  <si>
    <t>F000145</t>
  </si>
  <si>
    <t>F000146</t>
  </si>
  <si>
    <t>F000147</t>
  </si>
  <si>
    <t>F000148</t>
  </si>
  <si>
    <t>F000149</t>
  </si>
  <si>
    <t>F000150</t>
  </si>
  <si>
    <t>F000151</t>
  </si>
  <si>
    <t>F000152</t>
  </si>
  <si>
    <t>F000153</t>
  </si>
  <si>
    <t>F000154</t>
  </si>
  <si>
    <t>F000155</t>
  </si>
  <si>
    <t>F000156</t>
  </si>
  <si>
    <t>F000157</t>
  </si>
  <si>
    <t>F000158</t>
  </si>
  <si>
    <t>F000159</t>
  </si>
  <si>
    <t>F000160</t>
  </si>
  <si>
    <t>F000161</t>
  </si>
  <si>
    <t>F000162</t>
  </si>
  <si>
    <t>F000163</t>
  </si>
  <si>
    <t>F000164</t>
  </si>
  <si>
    <t>F000165</t>
  </si>
  <si>
    <t>F000166</t>
  </si>
  <si>
    <t>F000167</t>
  </si>
  <si>
    <t>F000168</t>
  </si>
  <si>
    <t>F000169</t>
  </si>
  <si>
    <t>F000170</t>
  </si>
  <si>
    <t>F000171</t>
  </si>
  <si>
    <t>F000172</t>
  </si>
  <si>
    <t>F000173</t>
  </si>
  <si>
    <t>F000174</t>
  </si>
  <si>
    <t>F000175</t>
  </si>
  <si>
    <t>F000176</t>
  </si>
  <si>
    <t>F000177</t>
  </si>
  <si>
    <t>F000178</t>
  </si>
  <si>
    <t>F000179</t>
  </si>
  <si>
    <t>F000180</t>
  </si>
  <si>
    <t>F000181</t>
  </si>
  <si>
    <t>F000182</t>
  </si>
  <si>
    <t>F000183</t>
  </si>
  <si>
    <t>F000184</t>
  </si>
  <si>
    <t>F000185</t>
  </si>
  <si>
    <t>F000186</t>
  </si>
  <si>
    <t>F000187</t>
  </si>
  <si>
    <t>F000188</t>
  </si>
  <si>
    <t>F000189</t>
  </si>
  <si>
    <t>F000190</t>
  </si>
  <si>
    <t>F000191</t>
  </si>
  <si>
    <t>F000192</t>
  </si>
  <si>
    <t>F000193</t>
  </si>
  <si>
    <t>F000194</t>
  </si>
  <si>
    <t>F000195</t>
  </si>
  <si>
    <t>F000196</t>
  </si>
  <si>
    <t>F000197</t>
  </si>
  <si>
    <t>F000198</t>
  </si>
  <si>
    <t>F000199</t>
  </si>
  <si>
    <t>F000200</t>
  </si>
  <si>
    <t>443045</t>
  </si>
  <si>
    <t>445047</t>
  </si>
  <si>
    <t>442100</t>
  </si>
  <si>
    <t>442003</t>
  </si>
  <si>
    <t>442005</t>
  </si>
  <si>
    <t>European Retail Solutions</t>
  </si>
  <si>
    <t>AlterI</t>
  </si>
  <si>
    <t>AOP II</t>
  </si>
  <si>
    <t>Alter Invest Fund I</t>
  </si>
  <si>
    <t>COF III</t>
  </si>
  <si>
    <t>COF II</t>
  </si>
  <si>
    <t>COF I</t>
  </si>
  <si>
    <t>INACTIVE</t>
  </si>
  <si>
    <t>Jonathan_Cancrco</t>
  </si>
  <si>
    <t>Hart_Christopher</t>
  </si>
  <si>
    <t>Verderaime_Joseph</t>
  </si>
  <si>
    <t>Parillis_Joseph_Anthony</t>
  </si>
  <si>
    <t>Masud_Shahid</t>
  </si>
  <si>
    <t>Gaffney_Jocelyn_K</t>
  </si>
  <si>
    <t>Shinde_Ashutosh</t>
  </si>
  <si>
    <t>Thakkar_Ashish</t>
  </si>
  <si>
    <t>Pinto_Miguel_Anthony</t>
  </si>
  <si>
    <t>Dallasykar_Ajay</t>
  </si>
  <si>
    <t>Limonpierre_Ian</t>
  </si>
  <si>
    <t>Finance</t>
  </si>
  <si>
    <t>Director</t>
  </si>
  <si>
    <t>Associate Director</t>
  </si>
  <si>
    <t>Managing Director</t>
  </si>
  <si>
    <t>Principal</t>
  </si>
  <si>
    <t>500,000</t>
  </si>
  <si>
    <t>100,000</t>
  </si>
  <si>
    <t>&gt;1,000,000</t>
  </si>
  <si>
    <t>250,000</t>
  </si>
  <si>
    <t>F000300</t>
  </si>
  <si>
    <t>F000301</t>
  </si>
  <si>
    <t>F000302</t>
  </si>
  <si>
    <t>F000303</t>
  </si>
  <si>
    <t>F000304</t>
  </si>
  <si>
    <t>F000305</t>
  </si>
  <si>
    <t>F000306</t>
  </si>
  <si>
    <t>F000307</t>
  </si>
  <si>
    <t>F000308</t>
  </si>
  <si>
    <t>F000309</t>
  </si>
  <si>
    <t>F000310</t>
  </si>
  <si>
    <t>F000311</t>
  </si>
  <si>
    <t>F000312</t>
  </si>
  <si>
    <t>F000313</t>
  </si>
  <si>
    <t>F000314</t>
  </si>
  <si>
    <t>F000315</t>
  </si>
  <si>
    <t>F000316</t>
  </si>
  <si>
    <t>F000317</t>
  </si>
  <si>
    <t>F000318</t>
  </si>
  <si>
    <t>F000319</t>
  </si>
  <si>
    <t>F000320</t>
  </si>
  <si>
    <t>F000321</t>
  </si>
  <si>
    <t>F000322</t>
  </si>
  <si>
    <t>F000323</t>
  </si>
  <si>
    <t>F000324</t>
  </si>
  <si>
    <t>F000325</t>
  </si>
  <si>
    <t>F000326</t>
  </si>
  <si>
    <t>F000327</t>
  </si>
  <si>
    <t>F000328</t>
  </si>
  <si>
    <t>F000329</t>
  </si>
  <si>
    <t>F000330</t>
  </si>
  <si>
    <t>F000331</t>
  </si>
  <si>
    <t>F000332</t>
  </si>
  <si>
    <t>F000333</t>
  </si>
  <si>
    <t>F000334</t>
  </si>
  <si>
    <t>F000335</t>
  </si>
  <si>
    <t>F000336</t>
  </si>
  <si>
    <t>F000337</t>
  </si>
  <si>
    <t>F000338</t>
  </si>
  <si>
    <t>F000339</t>
  </si>
  <si>
    <t>F000340</t>
  </si>
  <si>
    <t>F000341</t>
  </si>
  <si>
    <t>F000342</t>
  </si>
  <si>
    <t>F000343</t>
  </si>
  <si>
    <t>F000344</t>
  </si>
  <si>
    <t>F000345</t>
  </si>
  <si>
    <t>F000346</t>
  </si>
  <si>
    <t>F000347</t>
  </si>
  <si>
    <t>F000348</t>
  </si>
  <si>
    <t>F000349</t>
  </si>
  <si>
    <t>F000350</t>
  </si>
  <si>
    <t>F000351</t>
  </si>
  <si>
    <t>F000352</t>
  </si>
  <si>
    <t>F000353</t>
  </si>
  <si>
    <t>F000354</t>
  </si>
  <si>
    <t>F000355</t>
  </si>
  <si>
    <t>F000356</t>
  </si>
  <si>
    <t>F000357</t>
  </si>
  <si>
    <t>F000358</t>
  </si>
  <si>
    <t>F000359</t>
  </si>
  <si>
    <t>F000360</t>
  </si>
  <si>
    <t>F000361</t>
  </si>
  <si>
    <t>F000362</t>
  </si>
  <si>
    <t>F000363</t>
  </si>
  <si>
    <t>F000364</t>
  </si>
  <si>
    <t>F000365</t>
  </si>
  <si>
    <t>F000366</t>
  </si>
  <si>
    <t>F000367</t>
  </si>
  <si>
    <t>F000368</t>
  </si>
  <si>
    <t>F000369</t>
  </si>
  <si>
    <t>F000370</t>
  </si>
  <si>
    <t>F000371</t>
  </si>
  <si>
    <t>F000372</t>
  </si>
  <si>
    <t>F000373</t>
  </si>
  <si>
    <t>F000374</t>
  </si>
  <si>
    <t>F000375</t>
  </si>
  <si>
    <t>F000376</t>
  </si>
  <si>
    <t>F000377</t>
  </si>
  <si>
    <t>F000378</t>
  </si>
  <si>
    <t>F000379</t>
  </si>
  <si>
    <t>concat</t>
  </si>
  <si>
    <t>vl</t>
  </si>
  <si>
    <t>F000096442003443045102065Thakkar_AshishAssociate Director&gt;1,000,000</t>
  </si>
  <si>
    <t>F000016442005442005101858Limonpierre_IanDirector&gt;1,000,000</t>
  </si>
  <si>
    <t>F000031442005442100103340Gaffney_Jocelyn_KDirector100,000</t>
  </si>
  <si>
    <t>F000159443045443045103585Jonathan_CancrcoPrincipal250,000</t>
  </si>
  <si>
    <t>F000129442005445047102137Dallasykar_AjayPrincipal&gt;1,000,000</t>
  </si>
  <si>
    <t>F000116442100443045101872Gaffney_Jocelyn_KPrincipal250,000</t>
  </si>
  <si>
    <t>F000070443045442100103879Gaffney_Jocelyn_KPrincipal100,000</t>
  </si>
  <si>
    <t>F000171445047443045103825Shinde_AshutoshPrincipal500,000</t>
  </si>
  <si>
    <t>F000175445047442003103265Shinde_AshutoshManaging Director&gt;1,000,000</t>
  </si>
  <si>
    <t>F000046445047442003102896Pinto_Miguel_AnthonyAssociate Director250,000</t>
  </si>
  <si>
    <t>F000067445047442005101857Verderaime_JosephDirector500,000</t>
  </si>
  <si>
    <t>F000183442003442100102000Limonpierre_IanManaging Director100,000</t>
  </si>
  <si>
    <t>F000166442100442100102150Gaffney_Jocelyn_KPrincipal&gt;1,000,000</t>
  </si>
  <si>
    <t>F000079442003443045102490Masud_ShahidDirector500,000</t>
  </si>
  <si>
    <t>F000187442005442005103746Jonathan_CancrcoAssociate Director250,000</t>
  </si>
  <si>
    <t>F000178442003442005102769Masud_ShahidManaging Director&gt;1,000,000</t>
  </si>
  <si>
    <t>F000057442003442005102325Limonpierre_IanPrincipal500,000</t>
  </si>
  <si>
    <t>F000153443045442003102102Jonathan_CancrcoManaging Director250,000</t>
  </si>
  <si>
    <t>F000083442100443045102520Pinto_Miguel_AnthonyDirector250,000</t>
  </si>
  <si>
    <t>F000069445047443045101426Gaffney_Jocelyn_KAssociate Director&gt;1,000,000</t>
  </si>
  <si>
    <t>F000125443045445047102125Jonathan_CancrcoManaging Director100,000</t>
  </si>
  <si>
    <t>F000017442003445047102862Verderaime_JosephDirector500,000</t>
  </si>
  <si>
    <t>F000149445047442003101014Pinto_Miguel_AnthonyDirector100,000</t>
  </si>
  <si>
    <t>F000094442005442003102960Gaffney_Jocelyn_KManaging Director500,000</t>
  </si>
  <si>
    <t>F000066443045442003103925Hart_ChristopherAssociate Director500,000</t>
  </si>
  <si>
    <t>F000061442005442100102755Verderaime_JosephDirector250,000</t>
  </si>
  <si>
    <t>F000085443045442005101948Limonpierre_IanManaging Director100,000</t>
  </si>
  <si>
    <t>F000068442005443045103008Masud_ShahidDirector250,000</t>
  </si>
  <si>
    <t>F000126443045442003101064Jonathan_CancrcoAssociate Director250,000</t>
  </si>
  <si>
    <t>F000133442005443045101986Thakkar_AshishDirector500,000</t>
  </si>
  <si>
    <t>F000010445047445047103582Gaffney_Jocelyn_KAssociate Director100,000</t>
  </si>
  <si>
    <t>F000019442005442100103164Jonathan_CancrcoManaging Director250,000</t>
  </si>
  <si>
    <t>F000056442003442100101131Masud_ShahidManaging Director&gt;1,000,000</t>
  </si>
  <si>
    <t>F000076442100445047102657Dallasykar_AjayDirector&gt;1,000,000</t>
  </si>
  <si>
    <t>F000151443045443045103032Gaffney_Jocelyn_KDirector&gt;1,000,000</t>
  </si>
  <si>
    <t>F000105443045443045101854Masud_ShahidAssociate Director&gt;1,000,000</t>
  </si>
  <si>
    <t>F000136442100443045103013Dallasykar_AjayPrincipal500,000</t>
  </si>
  <si>
    <t>F000138445047442005101305Hart_ChristopherPrincipal100,000</t>
  </si>
  <si>
    <t>F000165443045442005102244Verderaime_JosephAssociate Director250,000</t>
  </si>
  <si>
    <t>F000077443045442003102680Thakkar_AshishManaging Director250,000</t>
  </si>
  <si>
    <t>F000080442003442100101630Jonathan_CancrcoDirector&gt;1,000,000</t>
  </si>
  <si>
    <t>F000198443045442100103401Shinde_AshutoshManaging Director250,000</t>
  </si>
  <si>
    <t>F000039442100442100102320Jonathan_CancrcoPrincipal500,000</t>
  </si>
  <si>
    <t>F000025445047442005101270Hart_ChristopherDirector&gt;1,000,000</t>
  </si>
  <si>
    <t>F000123442005443045101925Limonpierre_IanPrincipal500,000</t>
  </si>
  <si>
    <t>F000196445047442003102885Limonpierre_IanDirector500,000</t>
  </si>
  <si>
    <t>F000030442003442003103447Pinto_Miguel_AnthonyDirector500,000</t>
  </si>
  <si>
    <t>F000020443045442005102772Hart_ChristopherPrincipal250,000</t>
  </si>
  <si>
    <t>F000144442005443045103328Jonathan_CancrcoPrincipal250,000</t>
  </si>
  <si>
    <t>F000087442003442003102643Parillis_Joseph_AnthonyPrincipal&gt;1,000,000</t>
  </si>
  <si>
    <t>F000115443045442100101159Pinto_Miguel_AnthonyPrincipal100,000</t>
  </si>
  <si>
    <t>F000174442100445047101097Masud_ShahidAssociate Director250,000</t>
  </si>
  <si>
    <t>F000006443045445047101288Dallasykar_AjayPrincipal100,000</t>
  </si>
  <si>
    <t>F000127443045442003102213Thakkar_AshishAssociate Director&gt;1,000,000</t>
  </si>
  <si>
    <t>F000118442100443045102670Thakkar_AshishPrincipal250,000</t>
  </si>
  <si>
    <t>F000074445047443045103355Limonpierre_IanDirector&gt;1,000,000</t>
  </si>
  <si>
    <t>F000141443045443045103008Masud_ShahidAssociate Director100,000</t>
  </si>
  <si>
    <t>F000099442100442005102759Masud_ShahidPrincipal500,000</t>
  </si>
  <si>
    <t>F000173442100445047102445Thakkar_AshishDirector250,000</t>
  </si>
  <si>
    <t>F000097442005445047102954Limonpierre_IanPrincipal500,000</t>
  </si>
  <si>
    <t>F000170442003445047101345Shinde_AshutoshAssociate Director250,000</t>
  </si>
  <si>
    <t>F000098443045442003102764Shinde_AshutoshDirector500,000</t>
  </si>
  <si>
    <t>F000032445047443045102695Dallasykar_AjayDirector250,000</t>
  </si>
  <si>
    <t>F000013442100443045101553Parillis_Joseph_AnthonyAssociate Director250,000</t>
  </si>
  <si>
    <t>F000036442100442003102134Parillis_Joseph_AnthonyAssociate Director250,000</t>
  </si>
  <si>
    <t>F000120445047442003102080Parillis_Joseph_AnthonyPrincipal500,000</t>
  </si>
  <si>
    <t>F000043442100442003101830Limonpierre_IanAssociate Director250,000</t>
  </si>
  <si>
    <t>F000190442100442005103564Verderaime_JosephPrincipal500,000</t>
  </si>
  <si>
    <t>F000091445047442100102467Shinde_AshutoshManaging Director500,000</t>
  </si>
  <si>
    <t>F000137442005443045101961Parillis_Joseph_AnthonyManaging Director500,000</t>
  </si>
  <si>
    <t>F000052442003442003102169Verderaime_JosephAssociate Director&gt;1,000,000</t>
  </si>
  <si>
    <t>F000128442005445047103636Masud_ShahidAssociate Director500,000</t>
  </si>
  <si>
    <t>F000163443045442003101543Jonathan_CancrcoDirector100,000</t>
  </si>
  <si>
    <t>F000042442003442005101956Shinde_AshutoshManaging Director100,000</t>
  </si>
  <si>
    <t>F000119443045442003103740Limonpierre_IanPrincipal100,000</t>
  </si>
  <si>
    <t>F000114443045442003102457Limonpierre_IanManaging Director&gt;1,000,000</t>
  </si>
  <si>
    <t>F000027442003442100101908Dallasykar_AjayPrincipal250,000</t>
  </si>
  <si>
    <t>F000140445047443045101067Dallasykar_AjayPrincipal&gt;1,000,000</t>
  </si>
  <si>
    <t>F000101442005442100103163Verderaime_JosephManaging Director&gt;1,000,000</t>
  </si>
  <si>
    <t>F000112442003443045103369Dallasykar_AjayAssociate Director500,000</t>
  </si>
  <si>
    <t>F000003443045442005103322Parillis_Joseph_AnthonyManaging Director&gt;1,000,000</t>
  </si>
  <si>
    <t>F000078445047443045101519Verderaime_JosephDirector500,000</t>
  </si>
  <si>
    <t>F000047442100443045103368Masud_ShahidAssociate Director250,000</t>
  </si>
  <si>
    <t>F000188442005442003102932Thakkar_AshishManaging Director&gt;1,000,000</t>
  </si>
  <si>
    <t>F000192443045442003103937Parillis_Joseph_AnthonyPrincipal250,000</t>
  </si>
  <si>
    <t>F000086445047442003101973Hart_ChristopherDirector500,000</t>
  </si>
  <si>
    <t>F000162442005443045102256Thakkar_AshishManaging Director100,000</t>
  </si>
  <si>
    <t>F000037442003445047102672Hart_ChristopherManaging Director500,000</t>
  </si>
  <si>
    <t>F000191442100445047101083Dallasykar_AjayManaging Director250,000</t>
  </si>
  <si>
    <t>F000062443045442003103827Dallasykar_AjayAssociate Director&gt;1,000,000</t>
  </si>
  <si>
    <t>F000023442003442100103190Parillis_Joseph_AnthonyAssociate Director&gt;1,000,000</t>
  </si>
  <si>
    <t>F000142445047443045101895Parillis_Joseph_AnthonyAssociate Director500,000</t>
  </si>
  <si>
    <t>F000102442100445047103835Shinde_AshutoshManaging Director250,000</t>
  </si>
  <si>
    <t>F000034443045442100102849Shinde_AshutoshManaging Director100,000</t>
  </si>
  <si>
    <t>F000012442100445047101723Verderaime_JosephAssociate Director100,000</t>
  </si>
  <si>
    <t>F000195442005442003101886Hart_ChristopherAssociate Director100,000</t>
  </si>
  <si>
    <t>F000160443045443045101379Parillis_Joseph_AnthonyManaging Director100,000</t>
  </si>
  <si>
    <t>F000007443045443045101559Shinde_AshutoshManaging Director100,000</t>
  </si>
  <si>
    <t>F000028442003442100101925Masud_ShahidPrincipal100,000</t>
  </si>
  <si>
    <t>F000121445047443045103693Pinto_Miguel_AnthonyManaging Director250,000</t>
  </si>
  <si>
    <t>F000300445047442005101605Gaffney_Jocelyn_KManaging Director250,000</t>
  </si>
  <si>
    <t>F000301442005442003103202Gaffney_Jocelyn_KPrincipal500,000</t>
  </si>
  <si>
    <t>F000302442005442100101603Thakkar_AshishAssociate Director500,000</t>
  </si>
  <si>
    <t>F000303442005442005103468Parillis_Joseph_AnthonyDirector250,000</t>
  </si>
  <si>
    <t>F000304443045442100103667Pinto_Miguel_AnthonyManaging Director&gt;1,000,000</t>
  </si>
  <si>
    <t>F000305442005442100102835Thakkar_AshishAssociate Director100,000</t>
  </si>
  <si>
    <t>F000306443045442005101021Jonathan_CancrcoDirector&gt;1,000,000</t>
  </si>
  <si>
    <t>F000307445047443045103364Verderaime_JosephManaging Director250,000</t>
  </si>
  <si>
    <t>F000308445047443045102854Verderaime_JosephPrincipal100,000</t>
  </si>
  <si>
    <t>F000309442005442003103393Limonpierre_IanPrincipal250,000</t>
  </si>
  <si>
    <t>F000310442003442003102931Limonpierre_IanPrincipal250,000</t>
  </si>
  <si>
    <t>F000311442005442100102647Thakkar_AshishDirector500,000</t>
  </si>
  <si>
    <t>F000312442003445047102491Verderaime_JosephDirector250,000</t>
  </si>
  <si>
    <t>F000313442003442005102676Shinde_AshutoshManaging Director500,000</t>
  </si>
  <si>
    <t>F000314445047442100101340Jonathan_CancrcoManaging Director500,000</t>
  </si>
  <si>
    <t>F000315445047442005102684Parillis_Joseph_AnthonyDirector250,000</t>
  </si>
  <si>
    <t>F000316445047442005102905Pinto_Miguel_AnthonyManaging Director500,000</t>
  </si>
  <si>
    <t>F000317445047442100103195Thakkar_AshishManaging Director250,000</t>
  </si>
  <si>
    <t>F000318442100443045103787Verderaime_JosephAssociate Director&gt;1,000,000</t>
  </si>
  <si>
    <t>F000319442005442003102089Thakkar_AshishManaging Director500,000</t>
  </si>
  <si>
    <t>F000320443045443045101870Masud_ShahidAssociate Director250,000</t>
  </si>
  <si>
    <t>F000321443045442100101810Shinde_AshutoshAssociate Director250,000</t>
  </si>
  <si>
    <t>F000322442100443045101536Gaffney_Jocelyn_KPrincipal100,000</t>
  </si>
  <si>
    <t>F000323445047442100103336Pinto_Miguel_AnthonyAssociate Director250,000</t>
  </si>
  <si>
    <t>F000324442100442100101076Dallasykar_AjayDirector&gt;1,000,000</t>
  </si>
  <si>
    <t>F000325443045442003101132Hart_ChristopherAssociate Director100,000</t>
  </si>
  <si>
    <t>F000326442005442100102661Limonpierre_IanDirector500,000</t>
  </si>
  <si>
    <t>F000327442100442003102652Parillis_Joseph_AnthonyManaging Director&gt;1,000,000</t>
  </si>
  <si>
    <t>F000328442003442100101170Masud_ShahidPrincipal250,000</t>
  </si>
  <si>
    <t>F000329442003442100102046Shinde_AshutoshDirector500,000</t>
  </si>
  <si>
    <t>F000330443045442005101103Pinto_Miguel_AnthonyAssociate Director250,000</t>
  </si>
  <si>
    <t>F000331445047442005101528Parillis_Joseph_AnthonyAssociate Director100,000</t>
  </si>
  <si>
    <t>F000332442100443045102309Dallasykar_AjayAssociate Director250,000</t>
  </si>
  <si>
    <t>F000333442003443045102821Limonpierre_IanAssociate Director500,000</t>
  </si>
  <si>
    <t>F000334445047442005101547Dallasykar_AjayDirector&gt;1,000,000</t>
  </si>
  <si>
    <t>F000335442005442003101844Limonpierre_IanManaging Director250,000</t>
  </si>
  <si>
    <t>F000336442005442100102965Gaffney_Jocelyn_KPrincipal100,000</t>
  </si>
  <si>
    <t>F000337442003442003102686Thakkar_AshishPrincipal&gt;1,000,000</t>
  </si>
  <si>
    <t>F000338442003442005102438Shinde_AshutoshAssociate Director500,000</t>
  </si>
  <si>
    <t>F000339442003443045103383Parillis_Joseph_AnthonyManaging Director500,000</t>
  </si>
  <si>
    <t>F000340442003442003101078Hart_ChristopherPrincipal&gt;1,000,000</t>
  </si>
  <si>
    <t>F000341443045442005103370Verderaime_JosephPrincipal250,000</t>
  </si>
  <si>
    <t>F000342445047442005102281Pinto_Miguel_AnthonyAssociate Director100,000</t>
  </si>
  <si>
    <t>F000343445047442005103484Gaffney_Jocelyn_KPrincipal&gt;1,000,000</t>
  </si>
  <si>
    <t>F000344442003443045102446Limonpierre_IanManaging Director250,000</t>
  </si>
  <si>
    <t>F000345442003443045103478Pinto_Miguel_AnthonyDirector100,000</t>
  </si>
  <si>
    <t>F000346442100442100102094Shinde_AshutoshPrincipal250,000</t>
  </si>
  <si>
    <t>F000347442100442100102733Verderaime_JosephDirector&gt;1,000,000</t>
  </si>
  <si>
    <t>F000348443045442005102350Masud_ShahidManaging Director&gt;1,000,000</t>
  </si>
  <si>
    <t>F000349442100443045101064Dallasykar_AjayDirector100,000</t>
  </si>
  <si>
    <t>F000350442003445047101367Parillis_Joseph_AnthonyDirector100,000</t>
  </si>
  <si>
    <t>F000351442005443045103720Limonpierre_IanPrincipal250,000</t>
  </si>
  <si>
    <t>F000352442100442003102196Pinto_Miguel_AnthonyManaging Director&gt;1,000,000</t>
  </si>
  <si>
    <t>F000353442003442100101179Jonathan_CancrcoAssociate Director500,000</t>
  </si>
  <si>
    <t>F000354442005442005103408Thakkar_AshishDirector&gt;1,000,000</t>
  </si>
  <si>
    <t>F000355442005443045101745Shinde_AshutoshPrincipal250,000</t>
  </si>
  <si>
    <t>F000356442005442005103099Gaffney_Jocelyn_KPrincipal500,000</t>
  </si>
  <si>
    <t>F000357442100442003103931Thakkar_AshishManaging Director250,000</t>
  </si>
  <si>
    <t>F000358445047442003103864Masud_ShahidDirector500,000</t>
  </si>
  <si>
    <t>F000359442003442005102910Limonpierre_IanPrincipal250,000</t>
  </si>
  <si>
    <t>F000360443045445047102654Jonathan_CancrcoPrincipal250,000</t>
  </si>
  <si>
    <t>F000361442003445047102093Pinto_Miguel_AnthonyDirector&gt;1,000,000</t>
  </si>
  <si>
    <t>F000362445047445047103971Gaffney_Jocelyn_KManaging Director100,000</t>
  </si>
  <si>
    <t>F000363442005442100101553Masud_ShahidPrincipal500,000</t>
  </si>
  <si>
    <t>F000364442005445047102584Limonpierre_IanDirector100,000</t>
  </si>
  <si>
    <t>F000365442003443045101514Parillis_Joseph_AnthonyPrincipal500,000</t>
  </si>
  <si>
    <t>F000366442003442100103427Gaffney_Jocelyn_KManaging Director500,000</t>
  </si>
  <si>
    <t>F000367442005445047102309Thakkar_AshishManaging Director&gt;1,000,000</t>
  </si>
  <si>
    <t>F000368443045443045102200Dallasykar_AjayPrincipal&gt;1,000,000</t>
  </si>
  <si>
    <t>F000369445047442005101567Thakkar_AshishAssociate Director500,000</t>
  </si>
  <si>
    <t>F000370442003442003103542Shinde_AshutoshManaging Director&gt;1,000,000</t>
  </si>
  <si>
    <t>F000371442005442003102343Masud_ShahidAssociate Director250,000</t>
  </si>
  <si>
    <t>F000372442003443045102379Pinto_Miguel_AnthonyAssociate Director100,000</t>
  </si>
  <si>
    <t>F000373442003443045102473Verderaime_JosephAssociate Director250,000</t>
  </si>
  <si>
    <t>F000374442003442003101677Shinde_AshutoshPrincipal100,000</t>
  </si>
  <si>
    <t>F000375443045442003101667Jonathan_CancrcoAssociate Director500,000</t>
  </si>
  <si>
    <t>F000376443045442100103711Parillis_Joseph_AnthonyPrincipal100,000</t>
  </si>
  <si>
    <t>F000377442003442003102100Gaffney_Jocelyn_KAssociate Director&gt;1,000,000</t>
  </si>
  <si>
    <t>F000378443045442003102924Limonpierre_IanPrincipal&gt;1,000,000</t>
  </si>
  <si>
    <t>F000379443045442003101042Parillis_Joseph_AnthonyAssociate Director250,000</t>
  </si>
  <si>
    <t>F000001443045442003103847Jonathan_CancrcoDirector500,000</t>
  </si>
  <si>
    <t>F000002445047442003102362Limonpierre_IanAssociate Director100,000</t>
  </si>
  <si>
    <t>F000004443045442100102353Shinde_AshutoshDirector&gt;1,000,000</t>
  </si>
  <si>
    <t>F000005442100443045103250Parillis_Joseph_AnthonyAssociate Director100,000</t>
  </si>
  <si>
    <t>F000008442003442005101440Shinde_AshutoshAssociate Director250,000</t>
  </si>
  <si>
    <t>F000009442100442003103751Dallasykar_AjayPrincipal500,000</t>
  </si>
  <si>
    <t>F000011442003442100103316Limonpierre_IanDirector250,000</t>
  </si>
  <si>
    <t>F000014442003442003102461Parillis_Joseph_AnthonyPrincipal500,000</t>
  </si>
  <si>
    <t>F000015442100445047101292Jonathan_CancrcoManaging Director500,000</t>
  </si>
  <si>
    <t>F000018443045442100101674Masud_ShahidPrincipal250,000</t>
  </si>
  <si>
    <t>F000021442100445047101491Gaffney_Jocelyn_KDirector500,000</t>
  </si>
  <si>
    <t>F000022442100442003102274Parillis_Joseph_AnthonyAssociate Director250,000</t>
  </si>
  <si>
    <t>F000024442100443045102600Jonathan_CancrcoDirector250,000</t>
  </si>
  <si>
    <t>F000026442003443045102969Parillis_Joseph_AnthonyPrincipal500,000</t>
  </si>
  <si>
    <t>F000029442003442003101995Pinto_Miguel_AnthonyAssociate Director&gt;1,000,000</t>
  </si>
  <si>
    <t>F000033443045443045102156Hart_ChristopherManaging Director&gt;1,000,000</t>
  </si>
  <si>
    <t>F000035443045443045102063Masud_ShahidAssociate Director500,000</t>
  </si>
  <si>
    <t>F000038445047442100102141Hart_ChristopherPrincipal100,000</t>
  </si>
  <si>
    <t>F000040443045443045103556Jonathan_CancrcoManaging Director250,000</t>
  </si>
  <si>
    <t>F000041442005445047101832Masud_ShahidManaging Director&gt;1,000,000</t>
  </si>
  <si>
    <t>F000044443045442005102751Parillis_Joseph_AnthonyAssociate Director100,000</t>
  </si>
  <si>
    <t>F000045442003443045101621Verderaime_JosephManaging Director250,000</t>
  </si>
  <si>
    <t>F000048443045443045102614Jonathan_CancrcoAssociate Director500,000</t>
  </si>
  <si>
    <t>F000049445047442100101475Dallasykar_AjayAssociate Director&gt;1,000,000</t>
  </si>
  <si>
    <t>F000050445047442003103598Dallasykar_AjayDirector250,000</t>
  </si>
  <si>
    <t>F000051442003442005102318Gaffney_Jocelyn_KAssociate Director100,000</t>
  </si>
  <si>
    <t>F000053442005442005102002Parillis_Joseph_AnthonyAssociate Director500,000</t>
  </si>
  <si>
    <t>F000054443045442100102861Thakkar_AshishAssociate Director500,000</t>
  </si>
  <si>
    <t>F000055442003442003103682Pinto_Miguel_AnthonyManaging Director100,000</t>
  </si>
  <si>
    <t>F000058442100442005101378Dallasykar_AjayDirector&gt;1,000,000</t>
  </si>
  <si>
    <t>F000059442003442003102763Parillis_Joseph_AnthonyPrincipal100,000</t>
  </si>
  <si>
    <t>F000060442005442100102735Thakkar_AshishPrincipal&gt;1,000,000</t>
  </si>
  <si>
    <t>F000063445047442005103445Masud_ShahidDirector250,000</t>
  </si>
  <si>
    <t>F000064442100442005102602Hart_ChristopherPrincipal&gt;1,000,000</t>
  </si>
  <si>
    <t>F000065442005442005102309Pinto_Miguel_AnthonyDirector250,000</t>
  </si>
  <si>
    <t>F000071442100442100101226Verderaime_JosephManaging Director&gt;1,000,000</t>
  </si>
  <si>
    <t>F000072442003442003101220Shinde_AshutoshAssociate Director100,000</t>
  </si>
  <si>
    <t>F000073442100442100101010Thakkar_AshishPrincipal500,000</t>
  </si>
  <si>
    <t>F000075442100442005103083Hart_ChristopherAssociate Director&gt;1,000,000</t>
  </si>
  <si>
    <t>F000081443045445047101501Shinde_AshutoshAssociate Director250,000</t>
  </si>
  <si>
    <t>F000082442005442003101709Gaffney_Jocelyn_KDirector100,000</t>
  </si>
  <si>
    <t>F000084442005442100101278Verderaime_JosephAssociate Director250,000</t>
  </si>
  <si>
    <t>F000088442005442005102197Parillis_Joseph_AnthonyManaging Director&gt;1,000,000</t>
  </si>
  <si>
    <t>F000089445047442005101990Parillis_Joseph_AnthonyPrincipal500,000</t>
  </si>
  <si>
    <t>F000090445047443045102893Verderaime_JosephManaging Director500,000</t>
  </si>
  <si>
    <t>F000092445047442100103329Shinde_AshutoshPrincipal100,000</t>
  </si>
  <si>
    <t>F000093442005445047103509Parillis_Joseph_AnthonyDirector500,000</t>
  </si>
  <si>
    <t>F000095442003445047101373Pinto_Miguel_AnthonyManaging Director250,000</t>
  </si>
  <si>
    <t>F000100443045443045101661Limonpierre_IanManaging Director&gt;1,000,000</t>
  </si>
  <si>
    <t>F000103442003445047102804Dallasykar_AjayAssociate Director500,000</t>
  </si>
  <si>
    <t>F000104442003442005103086Dallasykar_AjayAssociate Director&gt;1,000,000</t>
  </si>
  <si>
    <t>F000106445047445047102052Gaffney_Jocelyn_KDirector500,000</t>
  </si>
  <si>
    <t>F000107442003442003102109Thakkar_AshishManaging Director250,000</t>
  </si>
  <si>
    <t>F000108443045442003101425Shinde_AshutoshDirector&gt;1,000,000</t>
  </si>
  <si>
    <t>F000109443045445047102235Hart_ChristopherDirector100,000</t>
  </si>
  <si>
    <t>F000110442003442003101840Thakkar_AshishManaging Director100,000</t>
  </si>
  <si>
    <t>F000111442005442003102842Verderaime_JosephDirector250,000</t>
  </si>
  <si>
    <t>F000113442100445047103144Masud_ShahidAssociate Director500,000</t>
  </si>
  <si>
    <t>F000117442003443045103242Pinto_Miguel_AnthonyDirector500,000</t>
  </si>
  <si>
    <t>F000122445047443045101285Thakkar_AshishPrincipal500,000</t>
  </si>
  <si>
    <t>F000124442003443045103210Shinde_AshutoshAssociate Director250,000</t>
  </si>
  <si>
    <t>F000130445047442005103739Masud_ShahidAssociate Director100,000</t>
  </si>
  <si>
    <t>F000131442003442005102150Dallasykar_AjayManaging Director&gt;1,000,000</t>
  </si>
  <si>
    <t>F000132443045442005102474Thakkar_AshishPrincipal100,000</t>
  </si>
  <si>
    <t>F000134442005442005103242Thakkar_AshishDirector250,000</t>
  </si>
  <si>
    <t>F000135442100443045103618Dallasykar_AjayDirector500,000</t>
  </si>
  <si>
    <t>F000139442003445047102659Pinto_Miguel_AnthonyPrincipal100,000</t>
  </si>
  <si>
    <t>F000143443045442003101027Hart_ChristopherDirector250,000</t>
  </si>
  <si>
    <t>F000145443045442100101708Parillis_Joseph_AnthonyAssociate Director&gt;1,000,000</t>
  </si>
  <si>
    <t>F000146442003443045103519Masud_ShahidManaging Director&gt;1,000,000</t>
  </si>
  <si>
    <t>F000147442100442005103864Thakkar_AshishAssociate Director250,000</t>
  </si>
  <si>
    <t>F000148442003442100101521Verderaime_JosephPrincipal500,000</t>
  </si>
  <si>
    <t>F000150442003442005102396Gaffney_Jocelyn_KPrincipal&gt;1,000,000</t>
  </si>
  <si>
    <t>F000152442005443045101825Pinto_Miguel_AnthonyAssociate Director250,000</t>
  </si>
  <si>
    <t>F000154442005442005102325Parillis_Joseph_AnthonyManaging Director500,000</t>
  </si>
  <si>
    <t>F000155442003445047103782Parillis_Joseph_AnthonyAssociate Director250,000</t>
  </si>
  <si>
    <t>F000156443045445047101360Dallasykar_AjayAssociate Director250,000</t>
  </si>
  <si>
    <t>F000157442100442100101004Limonpierre_IanDirector500,000</t>
  </si>
  <si>
    <t>F000158445047445047102993Jonathan_CancrcoAssociate Director250,000</t>
  </si>
  <si>
    <t>F000161442003442100103776Limonpierre_IanManaging Director500,000</t>
  </si>
  <si>
    <t>F000164442005442100103472Verderaime_JosephAssociate Director250,000</t>
  </si>
  <si>
    <t>F000167442003443045101943Thakkar_AshishManaging Director500,000</t>
  </si>
  <si>
    <t>F000168445047442003101770Limonpierre_IanPrincipal100,000</t>
  </si>
  <si>
    <t>F000169442005443045103951Parillis_Joseph_AnthonyPrincipal500,000</t>
  </si>
  <si>
    <t>F000172445047442003103371Parillis_Joseph_AnthonyPrincipal100,000</t>
  </si>
  <si>
    <t>F000176443045442003103187Shinde_AshutoshManaging Director250,000</t>
  </si>
  <si>
    <t>F000177443045442005101065Masud_ShahidManaging Director&gt;1,000,000</t>
  </si>
  <si>
    <t>F000179442003442003102560Pinto_Miguel_AnthonyPrincipal&gt;1,000,000</t>
  </si>
  <si>
    <t>F000180445047442100102502Hart_ChristopherManaging Director&gt;1,000,000</t>
  </si>
  <si>
    <t>F000181442100442003102339Parillis_Joseph_AnthonyAssociate Director100,000</t>
  </si>
  <si>
    <t>F000182445047445047101742Shinde_AshutoshDirector100,000</t>
  </si>
  <si>
    <t>F000184442003442003103392Parillis_Joseph_AnthonyManaging Director100,000</t>
  </si>
  <si>
    <t>F000185442003445047103825Pinto_Miguel_AnthonyManaging Director250,000</t>
  </si>
  <si>
    <t>F000186445047445047103983Dallasykar_AjayManaging Director250,000</t>
  </si>
  <si>
    <t>F000189445047442003102790Hart_ChristopherDirector500,000</t>
  </si>
  <si>
    <t>F000193442100442005101327Pinto_Miguel_AnthonyManaging Director250,000</t>
  </si>
  <si>
    <t>F000194445047442005101644Masud_ShahidAssociate Director100,000</t>
  </si>
  <si>
    <t>F000197442003445047103293Masud_ShahidAssociate Director100,000</t>
  </si>
  <si>
    <t>F000199442005442005102205Dallasykar_AjayManaging Director&gt;1,000,000</t>
  </si>
  <si>
    <t>F000200442005445047102481Limonpierre_IanPrincipal500,000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</si>
</sst>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C1" workbookViewId="0">
      <selection activeCell="M1" sqref="M1:M1048576"/>
    </sheetView>
  </sheetViews>
  <sheetFormatPr baseColWidth="10" defaultColWidth="8.83203125" defaultRowHeight="15" x14ac:dyDescent="0.2"/>
  <cols>
    <col min="3" max="3" width="20.6640625" bestFit="1" customWidth="1"/>
    <col min="4" max="4" width="12.1640625" bestFit="1" customWidth="1"/>
    <col min="5" max="5" width="22.33203125" bestFit="1" customWidth="1"/>
    <col min="6" max="6" width="11" bestFit="1" customWidth="1"/>
    <col min="7" max="7" width="19.83203125" bestFit="1" customWidth="1"/>
    <col min="8" max="8" width="23.5" bestFit="1" customWidth="1"/>
    <col min="10" max="10" width="15.1640625" bestFit="1" customWidth="1"/>
    <col min="11" max="11" width="12.83203125" bestFit="1" customWidth="1"/>
    <col min="12" max="12" width="69.1640625" bestFit="1" customWidth="1"/>
  </cols>
  <sheetData>
    <row r="1" spans="1:13" x14ac:dyDescent="0.2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2" t="s">
        <v>324</v>
      </c>
      <c r="M1" s="4" t="s">
        <v>325</v>
      </c>
    </row>
    <row r="2" spans="1:13" x14ac:dyDescent="0.2">
      <c r="A2" t="s">
        <v>11</v>
      </c>
      <c r="B2" t="s">
        <v>211</v>
      </c>
      <c r="C2" t="s">
        <v>216</v>
      </c>
      <c r="D2" t="s">
        <v>214</v>
      </c>
      <c r="E2" t="s">
        <v>220</v>
      </c>
      <c r="F2">
        <v>103847</v>
      </c>
      <c r="G2" t="s">
        <v>224</v>
      </c>
      <c r="H2" t="s">
        <v>224</v>
      </c>
      <c r="I2" t="s">
        <v>235</v>
      </c>
      <c r="J2" t="s">
        <v>236</v>
      </c>
      <c r="K2" t="s">
        <v>240</v>
      </c>
      <c r="L2" t="s">
        <v>506</v>
      </c>
      <c r="M2" t="e">
        <f>VLOOKUP(L2,new!L:L,1,0)</f>
        <v>#N/A</v>
      </c>
    </row>
    <row r="3" spans="1:13" x14ac:dyDescent="0.2">
      <c r="A3" t="s">
        <v>12</v>
      </c>
      <c r="B3" t="s">
        <v>212</v>
      </c>
      <c r="C3" t="s">
        <v>216</v>
      </c>
      <c r="D3" t="s">
        <v>214</v>
      </c>
      <c r="E3" t="s">
        <v>220</v>
      </c>
      <c r="F3">
        <v>102362</v>
      </c>
      <c r="G3" t="s">
        <v>225</v>
      </c>
      <c r="H3" t="s">
        <v>234</v>
      </c>
      <c r="I3" t="s">
        <v>235</v>
      </c>
      <c r="J3" t="s">
        <v>237</v>
      </c>
      <c r="K3" t="s">
        <v>241</v>
      </c>
      <c r="L3" t="s">
        <v>507</v>
      </c>
      <c r="M3" t="e">
        <f>VLOOKUP(L3,new!L:L,1,0)</f>
        <v>#N/A</v>
      </c>
    </row>
    <row r="4" spans="1:13" x14ac:dyDescent="0.2">
      <c r="A4" t="s">
        <v>13</v>
      </c>
      <c r="B4" t="s">
        <v>211</v>
      </c>
      <c r="C4" t="s">
        <v>217</v>
      </c>
      <c r="D4" t="s">
        <v>215</v>
      </c>
      <c r="E4" t="s">
        <v>221</v>
      </c>
      <c r="F4">
        <v>103322</v>
      </c>
      <c r="G4" t="s">
        <v>226</v>
      </c>
      <c r="H4" t="s">
        <v>227</v>
      </c>
      <c r="I4" t="s">
        <v>235</v>
      </c>
      <c r="J4" t="s">
        <v>238</v>
      </c>
      <c r="K4" t="s">
        <v>242</v>
      </c>
      <c r="L4" t="s">
        <v>406</v>
      </c>
      <c r="M4" t="str">
        <f>VLOOKUP(L4,new!L:L,1,0)</f>
        <v>F000003443045442005103322Parillis_Joseph_AnthonyManaging Director&gt;1,000,000</v>
      </c>
    </row>
    <row r="5" spans="1:13" x14ac:dyDescent="0.2">
      <c r="A5" t="s">
        <v>14</v>
      </c>
      <c r="B5" t="s">
        <v>211</v>
      </c>
      <c r="C5" t="s">
        <v>216</v>
      </c>
      <c r="D5" t="s">
        <v>213</v>
      </c>
      <c r="E5" t="s">
        <v>222</v>
      </c>
      <c r="F5">
        <v>102353</v>
      </c>
      <c r="G5" t="s">
        <v>227</v>
      </c>
      <c r="H5" t="s">
        <v>230</v>
      </c>
      <c r="I5" t="s">
        <v>235</v>
      </c>
      <c r="J5" t="s">
        <v>236</v>
      </c>
      <c r="K5" t="s">
        <v>242</v>
      </c>
      <c r="L5" t="s">
        <v>508</v>
      </c>
      <c r="M5" t="e">
        <f>VLOOKUP(L5,new!L:L,1,0)</f>
        <v>#N/A</v>
      </c>
    </row>
    <row r="6" spans="1:13" x14ac:dyDescent="0.2">
      <c r="A6" t="s">
        <v>15</v>
      </c>
      <c r="B6" t="s">
        <v>213</v>
      </c>
      <c r="C6" t="s">
        <v>218</v>
      </c>
      <c r="D6" t="s">
        <v>211</v>
      </c>
      <c r="E6" t="s">
        <v>223</v>
      </c>
      <c r="F6">
        <v>103250</v>
      </c>
      <c r="G6" t="s">
        <v>225</v>
      </c>
      <c r="H6" t="s">
        <v>227</v>
      </c>
      <c r="I6" t="s">
        <v>235</v>
      </c>
      <c r="J6" t="s">
        <v>237</v>
      </c>
      <c r="K6" t="s">
        <v>241</v>
      </c>
      <c r="L6" t="s">
        <v>509</v>
      </c>
      <c r="M6" t="e">
        <f>VLOOKUP(L6,new!L:L,1,0)</f>
        <v>#N/A</v>
      </c>
    </row>
    <row r="7" spans="1:13" x14ac:dyDescent="0.2">
      <c r="A7" t="s">
        <v>16</v>
      </c>
      <c r="B7" t="s">
        <v>211</v>
      </c>
      <c r="C7" t="s">
        <v>217</v>
      </c>
      <c r="D7" t="s">
        <v>212</v>
      </c>
      <c r="E7" t="s">
        <v>220</v>
      </c>
      <c r="F7">
        <v>101288</v>
      </c>
      <c r="G7" t="s">
        <v>228</v>
      </c>
      <c r="H7" t="s">
        <v>233</v>
      </c>
      <c r="I7" t="s">
        <v>235</v>
      </c>
      <c r="J7" t="s">
        <v>239</v>
      </c>
      <c r="K7" t="s">
        <v>241</v>
      </c>
      <c r="L7" t="s">
        <v>378</v>
      </c>
      <c r="M7" t="str">
        <f>VLOOKUP(L7,new!L:L,1,0)</f>
        <v>F000006443045445047101288Dallasykar_AjayPrincipal100,000</v>
      </c>
    </row>
    <row r="8" spans="1:13" x14ac:dyDescent="0.2">
      <c r="A8" t="s">
        <v>17</v>
      </c>
      <c r="B8" t="s">
        <v>211</v>
      </c>
      <c r="C8" t="s">
        <v>218</v>
      </c>
      <c r="D8" t="s">
        <v>211</v>
      </c>
      <c r="E8" t="s">
        <v>220</v>
      </c>
      <c r="F8">
        <v>101559</v>
      </c>
      <c r="G8" t="s">
        <v>224</v>
      </c>
      <c r="H8" t="s">
        <v>230</v>
      </c>
      <c r="I8" t="s">
        <v>235</v>
      </c>
      <c r="J8" t="s">
        <v>238</v>
      </c>
      <c r="K8" t="s">
        <v>241</v>
      </c>
      <c r="L8" t="s">
        <v>423</v>
      </c>
      <c r="M8" t="str">
        <f>VLOOKUP(L8,new!L:L,1,0)</f>
        <v>F000007443045443045101559Shinde_AshutoshManaging Director100,000</v>
      </c>
    </row>
    <row r="9" spans="1:13" x14ac:dyDescent="0.2">
      <c r="A9" t="s">
        <v>18</v>
      </c>
      <c r="B9" t="s">
        <v>214</v>
      </c>
      <c r="C9" t="s">
        <v>218</v>
      </c>
      <c r="D9" t="s">
        <v>215</v>
      </c>
      <c r="E9" t="s">
        <v>220</v>
      </c>
      <c r="F9">
        <v>101440</v>
      </c>
      <c r="G9" t="s">
        <v>226</v>
      </c>
      <c r="H9" t="s">
        <v>230</v>
      </c>
      <c r="I9" t="s">
        <v>235</v>
      </c>
      <c r="J9" t="s">
        <v>237</v>
      </c>
      <c r="K9" t="s">
        <v>243</v>
      </c>
      <c r="L9" t="s">
        <v>510</v>
      </c>
      <c r="M9" t="e">
        <f>VLOOKUP(L9,new!L:L,1,0)</f>
        <v>#N/A</v>
      </c>
    </row>
    <row r="10" spans="1:13" x14ac:dyDescent="0.2">
      <c r="A10" t="s">
        <v>19</v>
      </c>
      <c r="B10" t="s">
        <v>213</v>
      </c>
      <c r="C10" t="s">
        <v>219</v>
      </c>
      <c r="D10" t="s">
        <v>214</v>
      </c>
      <c r="E10" t="s">
        <v>220</v>
      </c>
      <c r="F10">
        <v>103751</v>
      </c>
      <c r="G10" t="s">
        <v>227</v>
      </c>
      <c r="H10" t="s">
        <v>233</v>
      </c>
      <c r="I10" t="s">
        <v>235</v>
      </c>
      <c r="J10" t="s">
        <v>239</v>
      </c>
      <c r="K10" t="s">
        <v>240</v>
      </c>
      <c r="L10" t="s">
        <v>511</v>
      </c>
      <c r="M10" t="e">
        <f>VLOOKUP(L10,new!L:L,1,0)</f>
        <v>#N/A</v>
      </c>
    </row>
    <row r="11" spans="1:13" x14ac:dyDescent="0.2">
      <c r="A11" t="s">
        <v>20</v>
      </c>
      <c r="B11" t="s">
        <v>212</v>
      </c>
      <c r="C11" t="s">
        <v>219</v>
      </c>
      <c r="D11" t="s">
        <v>212</v>
      </c>
      <c r="E11" t="s">
        <v>221</v>
      </c>
      <c r="F11">
        <v>103582</v>
      </c>
      <c r="G11" t="s">
        <v>228</v>
      </c>
      <c r="H11" t="s">
        <v>229</v>
      </c>
      <c r="I11" t="s">
        <v>235</v>
      </c>
      <c r="J11" t="s">
        <v>237</v>
      </c>
      <c r="K11" t="s">
        <v>241</v>
      </c>
      <c r="L11" t="s">
        <v>356</v>
      </c>
      <c r="M11" t="str">
        <f>VLOOKUP(L11,new!L:L,1,0)</f>
        <v>F000010445047445047103582Gaffney_Jocelyn_KAssociate Director100,000</v>
      </c>
    </row>
    <row r="12" spans="1:13" x14ac:dyDescent="0.2">
      <c r="A12" t="s">
        <v>21</v>
      </c>
      <c r="B12" t="s">
        <v>214</v>
      </c>
      <c r="C12" t="s">
        <v>216</v>
      </c>
      <c r="D12" t="s">
        <v>213</v>
      </c>
      <c r="E12" t="s">
        <v>221</v>
      </c>
      <c r="F12">
        <v>103316</v>
      </c>
      <c r="G12" t="s">
        <v>229</v>
      </c>
      <c r="H12" t="s">
        <v>234</v>
      </c>
      <c r="I12" t="s">
        <v>235</v>
      </c>
      <c r="J12" t="s">
        <v>236</v>
      </c>
      <c r="K12" t="s">
        <v>243</v>
      </c>
      <c r="L12" t="s">
        <v>512</v>
      </c>
      <c r="M12" t="e">
        <f>VLOOKUP(L12,new!L:L,1,0)</f>
        <v>#N/A</v>
      </c>
    </row>
    <row r="13" spans="1:13" x14ac:dyDescent="0.2">
      <c r="A13" t="s">
        <v>22</v>
      </c>
      <c r="B13" t="s">
        <v>213</v>
      </c>
      <c r="C13" t="s">
        <v>217</v>
      </c>
      <c r="D13" t="s">
        <v>212</v>
      </c>
      <c r="E13" t="s">
        <v>220</v>
      </c>
      <c r="F13">
        <v>101723</v>
      </c>
      <c r="G13" t="s">
        <v>230</v>
      </c>
      <c r="H13" t="s">
        <v>226</v>
      </c>
      <c r="I13" t="s">
        <v>235</v>
      </c>
      <c r="J13" t="s">
        <v>237</v>
      </c>
      <c r="K13" t="s">
        <v>241</v>
      </c>
      <c r="L13" t="s">
        <v>420</v>
      </c>
      <c r="M13" t="str">
        <f>VLOOKUP(L13,new!L:L,1,0)</f>
        <v>F000012442100445047101723Verderaime_JosephAssociate Director100,000</v>
      </c>
    </row>
    <row r="14" spans="1:13" x14ac:dyDescent="0.2">
      <c r="A14" t="s">
        <v>23</v>
      </c>
      <c r="B14" t="s">
        <v>213</v>
      </c>
      <c r="C14" t="s">
        <v>216</v>
      </c>
      <c r="D14" t="s">
        <v>211</v>
      </c>
      <c r="E14" t="s">
        <v>218</v>
      </c>
      <c r="F14">
        <v>101553</v>
      </c>
      <c r="G14" t="s">
        <v>224</v>
      </c>
      <c r="H14" t="s">
        <v>227</v>
      </c>
      <c r="I14" t="s">
        <v>235</v>
      </c>
      <c r="J14" t="s">
        <v>237</v>
      </c>
      <c r="K14" t="s">
        <v>243</v>
      </c>
      <c r="L14" t="s">
        <v>389</v>
      </c>
      <c r="M14" t="str">
        <f>VLOOKUP(L14,new!L:L,1,0)</f>
        <v>F000013442100443045101553Parillis_Joseph_AnthonyAssociate Director250,000</v>
      </c>
    </row>
    <row r="15" spans="1:13" x14ac:dyDescent="0.2">
      <c r="A15" t="s">
        <v>24</v>
      </c>
      <c r="B15" t="s">
        <v>214</v>
      </c>
      <c r="C15" t="s">
        <v>216</v>
      </c>
      <c r="D15" t="s">
        <v>214</v>
      </c>
      <c r="E15" t="s">
        <v>220</v>
      </c>
      <c r="F15">
        <v>102461</v>
      </c>
      <c r="G15" t="s">
        <v>225</v>
      </c>
      <c r="H15" t="s">
        <v>227</v>
      </c>
      <c r="I15" t="s">
        <v>235</v>
      </c>
      <c r="J15" t="s">
        <v>239</v>
      </c>
      <c r="K15" t="s">
        <v>240</v>
      </c>
      <c r="L15" t="s">
        <v>513</v>
      </c>
      <c r="M15" t="e">
        <f>VLOOKUP(L15,new!L:L,1,0)</f>
        <v>#N/A</v>
      </c>
    </row>
    <row r="16" spans="1:13" x14ac:dyDescent="0.2">
      <c r="A16" t="s">
        <v>25</v>
      </c>
      <c r="B16" t="s">
        <v>213</v>
      </c>
      <c r="C16" t="s">
        <v>217</v>
      </c>
      <c r="D16" t="s">
        <v>212</v>
      </c>
      <c r="E16" t="s">
        <v>218</v>
      </c>
      <c r="F16">
        <v>101292</v>
      </c>
      <c r="G16" t="s">
        <v>227</v>
      </c>
      <c r="H16" t="s">
        <v>224</v>
      </c>
      <c r="I16" t="s">
        <v>235</v>
      </c>
      <c r="J16" t="s">
        <v>238</v>
      </c>
      <c r="K16" t="s">
        <v>240</v>
      </c>
      <c r="L16" t="s">
        <v>514</v>
      </c>
      <c r="M16" t="e">
        <f>VLOOKUP(L16,new!L:L,1,0)</f>
        <v>#N/A</v>
      </c>
    </row>
    <row r="17" spans="1:13" x14ac:dyDescent="0.2">
      <c r="A17" t="s">
        <v>26</v>
      </c>
      <c r="B17" t="s">
        <v>215</v>
      </c>
      <c r="C17" t="s">
        <v>216</v>
      </c>
      <c r="D17" t="s">
        <v>215</v>
      </c>
      <c r="E17" t="s">
        <v>220</v>
      </c>
      <c r="F17">
        <v>101858</v>
      </c>
      <c r="G17" t="s">
        <v>231</v>
      </c>
      <c r="H17" t="s">
        <v>234</v>
      </c>
      <c r="I17" t="s">
        <v>235</v>
      </c>
      <c r="J17" t="s">
        <v>236</v>
      </c>
      <c r="K17" t="s">
        <v>242</v>
      </c>
      <c r="L17" t="s">
        <v>327</v>
      </c>
      <c r="M17" t="str">
        <f>VLOOKUP(L17,new!L:L,1,0)</f>
        <v>F000016442005442005101858Limonpierre_IanDirector&gt;1,000,000</v>
      </c>
    </row>
    <row r="18" spans="1:13" x14ac:dyDescent="0.2">
      <c r="A18" t="s">
        <v>27</v>
      </c>
      <c r="B18" t="s">
        <v>214</v>
      </c>
      <c r="C18" t="s">
        <v>217</v>
      </c>
      <c r="D18" t="s">
        <v>212</v>
      </c>
      <c r="E18" t="s">
        <v>222</v>
      </c>
      <c r="F18">
        <v>102862</v>
      </c>
      <c r="G18" t="s">
        <v>228</v>
      </c>
      <c r="H18" t="s">
        <v>226</v>
      </c>
      <c r="I18" t="s">
        <v>235</v>
      </c>
      <c r="J18" t="s">
        <v>236</v>
      </c>
      <c r="K18" t="s">
        <v>240</v>
      </c>
      <c r="L18" t="s">
        <v>347</v>
      </c>
      <c r="M18" t="str">
        <f>VLOOKUP(L18,new!L:L,1,0)</f>
        <v>F000017442003445047102862Verderaime_JosephDirector500,000</v>
      </c>
    </row>
    <row r="19" spans="1:13" x14ac:dyDescent="0.2">
      <c r="A19" t="s">
        <v>28</v>
      </c>
      <c r="B19" t="s">
        <v>211</v>
      </c>
      <c r="C19" t="s">
        <v>219</v>
      </c>
      <c r="D19" t="s">
        <v>213</v>
      </c>
      <c r="E19" t="s">
        <v>218</v>
      </c>
      <c r="F19">
        <v>101674</v>
      </c>
      <c r="G19" t="s">
        <v>229</v>
      </c>
      <c r="H19" t="s">
        <v>228</v>
      </c>
      <c r="I19" t="s">
        <v>235</v>
      </c>
      <c r="J19" t="s">
        <v>239</v>
      </c>
      <c r="K19" t="s">
        <v>243</v>
      </c>
      <c r="L19" t="s">
        <v>515</v>
      </c>
      <c r="M19" t="e">
        <f>VLOOKUP(L19,new!L:L,1,0)</f>
        <v>#N/A</v>
      </c>
    </row>
    <row r="20" spans="1:13" x14ac:dyDescent="0.2">
      <c r="A20" t="s">
        <v>29</v>
      </c>
      <c r="B20" t="s">
        <v>215</v>
      </c>
      <c r="C20" t="s">
        <v>216</v>
      </c>
      <c r="D20" t="s">
        <v>213</v>
      </c>
      <c r="E20" t="s">
        <v>221</v>
      </c>
      <c r="F20">
        <v>103164</v>
      </c>
      <c r="G20" t="s">
        <v>227</v>
      </c>
      <c r="H20" t="s">
        <v>224</v>
      </c>
      <c r="I20" t="s">
        <v>235</v>
      </c>
      <c r="J20" t="s">
        <v>238</v>
      </c>
      <c r="K20" t="s">
        <v>243</v>
      </c>
      <c r="L20" t="s">
        <v>357</v>
      </c>
      <c r="M20" t="str">
        <f>VLOOKUP(L20,new!L:L,1,0)</f>
        <v>F000019442005442100103164Jonathan_CancrcoManaging Director250,000</v>
      </c>
    </row>
    <row r="21" spans="1:13" x14ac:dyDescent="0.2">
      <c r="A21" t="s">
        <v>30</v>
      </c>
      <c r="B21" t="s">
        <v>211</v>
      </c>
      <c r="C21" t="s">
        <v>218</v>
      </c>
      <c r="D21" t="s">
        <v>215</v>
      </c>
      <c r="E21" t="s">
        <v>220</v>
      </c>
      <c r="F21">
        <v>102772</v>
      </c>
      <c r="G21" t="s">
        <v>224</v>
      </c>
      <c r="H21" t="s">
        <v>225</v>
      </c>
      <c r="I21" t="s">
        <v>235</v>
      </c>
      <c r="J21" t="s">
        <v>239</v>
      </c>
      <c r="K21" t="s">
        <v>243</v>
      </c>
      <c r="L21" t="s">
        <v>373</v>
      </c>
      <c r="M21" t="str">
        <f>VLOOKUP(L21,new!L:L,1,0)</f>
        <v>F000020443045442005102772Hart_ChristopherPrincipal250,000</v>
      </c>
    </row>
    <row r="22" spans="1:13" x14ac:dyDescent="0.2">
      <c r="A22" t="s">
        <v>31</v>
      </c>
      <c r="B22" t="s">
        <v>213</v>
      </c>
      <c r="C22" t="s">
        <v>219</v>
      </c>
      <c r="D22" t="s">
        <v>212</v>
      </c>
      <c r="E22" t="s">
        <v>221</v>
      </c>
      <c r="F22">
        <v>101491</v>
      </c>
      <c r="G22" t="s">
        <v>232</v>
      </c>
      <c r="H22" t="s">
        <v>229</v>
      </c>
      <c r="I22" t="s">
        <v>235</v>
      </c>
      <c r="J22" t="s">
        <v>236</v>
      </c>
      <c r="K22" t="s">
        <v>240</v>
      </c>
      <c r="L22" t="s">
        <v>516</v>
      </c>
      <c r="M22" t="e">
        <f>VLOOKUP(L22,new!L:L,1,0)</f>
        <v>#N/A</v>
      </c>
    </row>
    <row r="23" spans="1:13" x14ac:dyDescent="0.2">
      <c r="A23" t="s">
        <v>32</v>
      </c>
      <c r="B23" t="s">
        <v>213</v>
      </c>
      <c r="C23" t="s">
        <v>216</v>
      </c>
      <c r="D23" t="s">
        <v>214</v>
      </c>
      <c r="E23" t="s">
        <v>223</v>
      </c>
      <c r="F23">
        <v>102274</v>
      </c>
      <c r="G23" t="s">
        <v>233</v>
      </c>
      <c r="H23" t="s">
        <v>227</v>
      </c>
      <c r="I23" t="s">
        <v>235</v>
      </c>
      <c r="J23" t="s">
        <v>237</v>
      </c>
      <c r="K23" t="s">
        <v>243</v>
      </c>
      <c r="L23" t="s">
        <v>517</v>
      </c>
      <c r="M23" t="e">
        <f>VLOOKUP(L23,new!L:L,1,0)</f>
        <v>#N/A</v>
      </c>
    </row>
    <row r="24" spans="1:13" x14ac:dyDescent="0.2">
      <c r="A24" t="s">
        <v>33</v>
      </c>
      <c r="B24" t="s">
        <v>214</v>
      </c>
      <c r="C24" t="s">
        <v>216</v>
      </c>
      <c r="D24" t="s">
        <v>213</v>
      </c>
      <c r="E24" t="s">
        <v>223</v>
      </c>
      <c r="F24">
        <v>103190</v>
      </c>
      <c r="G24" t="s">
        <v>227</v>
      </c>
      <c r="H24" t="s">
        <v>227</v>
      </c>
      <c r="I24" t="s">
        <v>235</v>
      </c>
      <c r="J24" t="s">
        <v>237</v>
      </c>
      <c r="K24" t="s">
        <v>242</v>
      </c>
      <c r="L24" t="s">
        <v>416</v>
      </c>
      <c r="M24" t="str">
        <f>VLOOKUP(L24,new!L:L,1,0)</f>
        <v>F000023442003442100103190Parillis_Joseph_AnthonyAssociate Director&gt;1,000,000</v>
      </c>
    </row>
    <row r="25" spans="1:13" x14ac:dyDescent="0.2">
      <c r="A25" t="s">
        <v>34</v>
      </c>
      <c r="B25" t="s">
        <v>213</v>
      </c>
      <c r="C25" t="s">
        <v>218</v>
      </c>
      <c r="D25" t="s">
        <v>211</v>
      </c>
      <c r="E25" t="s">
        <v>221</v>
      </c>
      <c r="F25">
        <v>102600</v>
      </c>
      <c r="G25" t="s">
        <v>232</v>
      </c>
      <c r="H25" t="s">
        <v>224</v>
      </c>
      <c r="I25" t="s">
        <v>235</v>
      </c>
      <c r="J25" t="s">
        <v>236</v>
      </c>
      <c r="K25" t="s">
        <v>243</v>
      </c>
      <c r="L25" t="s">
        <v>518</v>
      </c>
      <c r="M25" t="e">
        <f>VLOOKUP(L25,new!L:L,1,0)</f>
        <v>#N/A</v>
      </c>
    </row>
    <row r="26" spans="1:13" x14ac:dyDescent="0.2">
      <c r="A26" t="s">
        <v>35</v>
      </c>
      <c r="B26" t="s">
        <v>212</v>
      </c>
      <c r="C26" t="s">
        <v>218</v>
      </c>
      <c r="D26" t="s">
        <v>215</v>
      </c>
      <c r="E26" t="s">
        <v>221</v>
      </c>
      <c r="F26">
        <v>101270</v>
      </c>
      <c r="G26" t="s">
        <v>225</v>
      </c>
      <c r="H26" t="s">
        <v>225</v>
      </c>
      <c r="I26" t="s">
        <v>235</v>
      </c>
      <c r="J26" t="s">
        <v>236</v>
      </c>
      <c r="K26" t="s">
        <v>242</v>
      </c>
      <c r="L26" t="s">
        <v>369</v>
      </c>
      <c r="M26" t="str">
        <f>VLOOKUP(L26,new!L:L,1,0)</f>
        <v>F000025445047442005101270Hart_ChristopherDirector&gt;1,000,000</v>
      </c>
    </row>
    <row r="27" spans="1:13" x14ac:dyDescent="0.2">
      <c r="A27" t="s">
        <v>36</v>
      </c>
      <c r="B27" t="s">
        <v>214</v>
      </c>
      <c r="C27" t="s">
        <v>219</v>
      </c>
      <c r="D27" t="s">
        <v>211</v>
      </c>
      <c r="E27" t="s">
        <v>223</v>
      </c>
      <c r="F27">
        <v>102969</v>
      </c>
      <c r="G27" t="s">
        <v>229</v>
      </c>
      <c r="H27" t="s">
        <v>227</v>
      </c>
      <c r="I27" t="s">
        <v>235</v>
      </c>
      <c r="J27" t="s">
        <v>239</v>
      </c>
      <c r="K27" t="s">
        <v>240</v>
      </c>
      <c r="L27" t="s">
        <v>519</v>
      </c>
      <c r="M27" t="e">
        <f>VLOOKUP(L27,new!L:L,1,0)</f>
        <v>#N/A</v>
      </c>
    </row>
    <row r="28" spans="1:13" x14ac:dyDescent="0.2">
      <c r="A28" t="s">
        <v>37</v>
      </c>
      <c r="B28" t="s">
        <v>214</v>
      </c>
      <c r="C28" t="s">
        <v>218</v>
      </c>
      <c r="D28" t="s">
        <v>213</v>
      </c>
      <c r="E28" t="s">
        <v>218</v>
      </c>
      <c r="F28">
        <v>101908</v>
      </c>
      <c r="G28" t="s">
        <v>231</v>
      </c>
      <c r="H28" t="s">
        <v>233</v>
      </c>
      <c r="I28" t="s">
        <v>235</v>
      </c>
      <c r="J28" t="s">
        <v>239</v>
      </c>
      <c r="K28" t="s">
        <v>243</v>
      </c>
      <c r="L28" t="s">
        <v>402</v>
      </c>
      <c r="M28" t="str">
        <f>VLOOKUP(L28,new!L:L,1,0)</f>
        <v>F000027442003442100101908Dallasykar_AjayPrincipal250,000</v>
      </c>
    </row>
    <row r="29" spans="1:13" x14ac:dyDescent="0.2">
      <c r="A29" t="s">
        <v>38</v>
      </c>
      <c r="B29" t="s">
        <v>214</v>
      </c>
      <c r="C29" t="s">
        <v>219</v>
      </c>
      <c r="D29" t="s">
        <v>213</v>
      </c>
      <c r="E29" t="s">
        <v>223</v>
      </c>
      <c r="F29">
        <v>101925</v>
      </c>
      <c r="G29" t="s">
        <v>224</v>
      </c>
      <c r="H29" t="s">
        <v>228</v>
      </c>
      <c r="I29" t="s">
        <v>235</v>
      </c>
      <c r="J29" t="s">
        <v>239</v>
      </c>
      <c r="K29" t="s">
        <v>241</v>
      </c>
      <c r="L29" t="s">
        <v>424</v>
      </c>
      <c r="M29" t="str">
        <f>VLOOKUP(L29,new!L:L,1,0)</f>
        <v>F000028442003442100101925Masud_ShahidPrincipal100,000</v>
      </c>
    </row>
    <row r="30" spans="1:13" x14ac:dyDescent="0.2">
      <c r="A30" t="s">
        <v>39</v>
      </c>
      <c r="B30" t="s">
        <v>214</v>
      </c>
      <c r="C30" t="s">
        <v>218</v>
      </c>
      <c r="D30" t="s">
        <v>214</v>
      </c>
      <c r="E30" t="s">
        <v>222</v>
      </c>
      <c r="F30">
        <v>101995</v>
      </c>
      <c r="G30" t="s">
        <v>227</v>
      </c>
      <c r="H30" t="s">
        <v>232</v>
      </c>
      <c r="I30" t="s">
        <v>235</v>
      </c>
      <c r="J30" t="s">
        <v>237</v>
      </c>
      <c r="K30" t="s">
        <v>242</v>
      </c>
      <c r="L30" t="s">
        <v>520</v>
      </c>
      <c r="M30" t="e">
        <f>VLOOKUP(L30,new!L:L,1,0)</f>
        <v>#N/A</v>
      </c>
    </row>
    <row r="31" spans="1:13" x14ac:dyDescent="0.2">
      <c r="A31" t="s">
        <v>40</v>
      </c>
      <c r="B31" t="s">
        <v>214</v>
      </c>
      <c r="C31" t="s">
        <v>216</v>
      </c>
      <c r="D31" t="s">
        <v>214</v>
      </c>
      <c r="E31" t="s">
        <v>218</v>
      </c>
      <c r="F31">
        <v>103447</v>
      </c>
      <c r="G31" t="s">
        <v>228</v>
      </c>
      <c r="H31" t="s">
        <v>232</v>
      </c>
      <c r="I31" t="s">
        <v>235</v>
      </c>
      <c r="J31" t="s">
        <v>236</v>
      </c>
      <c r="K31" t="s">
        <v>240</v>
      </c>
      <c r="L31" t="s">
        <v>372</v>
      </c>
      <c r="M31" t="str">
        <f>VLOOKUP(L31,new!L:L,1,0)</f>
        <v>F000030442003442003103447Pinto_Miguel_AnthonyDirector500,000</v>
      </c>
    </row>
    <row r="32" spans="1:13" x14ac:dyDescent="0.2">
      <c r="A32" t="s">
        <v>41</v>
      </c>
      <c r="B32" t="s">
        <v>215</v>
      </c>
      <c r="C32" t="s">
        <v>218</v>
      </c>
      <c r="D32" t="s">
        <v>213</v>
      </c>
      <c r="E32" t="s">
        <v>221</v>
      </c>
      <c r="F32">
        <v>103340</v>
      </c>
      <c r="G32" t="s">
        <v>226</v>
      </c>
      <c r="H32" t="s">
        <v>229</v>
      </c>
      <c r="I32" t="s">
        <v>235</v>
      </c>
      <c r="J32" t="s">
        <v>236</v>
      </c>
      <c r="K32" t="s">
        <v>241</v>
      </c>
      <c r="L32" t="s">
        <v>328</v>
      </c>
      <c r="M32" t="str">
        <f>VLOOKUP(L32,new!L:L,1,0)</f>
        <v>F000031442005442100103340Gaffney_Jocelyn_KDirector100,000</v>
      </c>
    </row>
    <row r="33" spans="1:13" x14ac:dyDescent="0.2">
      <c r="A33" t="s">
        <v>42</v>
      </c>
      <c r="B33" t="s">
        <v>212</v>
      </c>
      <c r="C33" t="s">
        <v>217</v>
      </c>
      <c r="D33" t="s">
        <v>211</v>
      </c>
      <c r="E33" t="s">
        <v>222</v>
      </c>
      <c r="F33">
        <v>102695</v>
      </c>
      <c r="G33" t="s">
        <v>224</v>
      </c>
      <c r="H33" t="s">
        <v>233</v>
      </c>
      <c r="I33" t="s">
        <v>235</v>
      </c>
      <c r="J33" t="s">
        <v>236</v>
      </c>
      <c r="K33" t="s">
        <v>243</v>
      </c>
      <c r="L33" t="s">
        <v>388</v>
      </c>
      <c r="M33" t="str">
        <f>VLOOKUP(L33,new!L:L,1,0)</f>
        <v>F000032445047443045102695Dallasykar_AjayDirector250,000</v>
      </c>
    </row>
    <row r="34" spans="1:13" x14ac:dyDescent="0.2">
      <c r="A34" t="s">
        <v>43</v>
      </c>
      <c r="B34" t="s">
        <v>211</v>
      </c>
      <c r="C34" t="s">
        <v>219</v>
      </c>
      <c r="D34" t="s">
        <v>211</v>
      </c>
      <c r="E34" t="s">
        <v>221</v>
      </c>
      <c r="F34">
        <v>102156</v>
      </c>
      <c r="G34" t="s">
        <v>224</v>
      </c>
      <c r="H34" t="s">
        <v>225</v>
      </c>
      <c r="I34" t="s">
        <v>235</v>
      </c>
      <c r="J34" t="s">
        <v>238</v>
      </c>
      <c r="K34" t="s">
        <v>242</v>
      </c>
      <c r="L34" t="s">
        <v>521</v>
      </c>
      <c r="M34" t="e">
        <f>VLOOKUP(L34,new!L:L,1,0)</f>
        <v>#N/A</v>
      </c>
    </row>
    <row r="35" spans="1:13" x14ac:dyDescent="0.2">
      <c r="A35" t="s">
        <v>44</v>
      </c>
      <c r="B35" t="s">
        <v>211</v>
      </c>
      <c r="C35" t="s">
        <v>216</v>
      </c>
      <c r="D35" t="s">
        <v>213</v>
      </c>
      <c r="E35" t="s">
        <v>221</v>
      </c>
      <c r="F35">
        <v>102849</v>
      </c>
      <c r="G35" t="s">
        <v>227</v>
      </c>
      <c r="H35" t="s">
        <v>230</v>
      </c>
      <c r="I35" t="s">
        <v>235</v>
      </c>
      <c r="J35" t="s">
        <v>238</v>
      </c>
      <c r="K35" t="s">
        <v>241</v>
      </c>
      <c r="L35" t="s">
        <v>419</v>
      </c>
      <c r="M35" t="str">
        <f>VLOOKUP(L35,new!L:L,1,0)</f>
        <v>F000034443045442100102849Shinde_AshutoshManaging Director100,000</v>
      </c>
    </row>
    <row r="36" spans="1:13" x14ac:dyDescent="0.2">
      <c r="A36" t="s">
        <v>45</v>
      </c>
      <c r="B36" t="s">
        <v>211</v>
      </c>
      <c r="C36" t="s">
        <v>216</v>
      </c>
      <c r="D36" t="s">
        <v>211</v>
      </c>
      <c r="E36" t="s">
        <v>222</v>
      </c>
      <c r="F36">
        <v>102063</v>
      </c>
      <c r="G36" t="s">
        <v>234</v>
      </c>
      <c r="H36" t="s">
        <v>228</v>
      </c>
      <c r="I36" t="s">
        <v>235</v>
      </c>
      <c r="J36" t="s">
        <v>237</v>
      </c>
      <c r="K36" t="s">
        <v>240</v>
      </c>
      <c r="L36" t="s">
        <v>522</v>
      </c>
      <c r="M36" t="e">
        <f>VLOOKUP(L36,new!L:L,1,0)</f>
        <v>#N/A</v>
      </c>
    </row>
    <row r="37" spans="1:13" x14ac:dyDescent="0.2">
      <c r="A37" t="s">
        <v>46</v>
      </c>
      <c r="B37" t="s">
        <v>213</v>
      </c>
      <c r="C37" t="s">
        <v>217</v>
      </c>
      <c r="D37" t="s">
        <v>214</v>
      </c>
      <c r="E37" t="s">
        <v>222</v>
      </c>
      <c r="F37">
        <v>102134</v>
      </c>
      <c r="G37" t="s">
        <v>227</v>
      </c>
      <c r="H37" t="s">
        <v>227</v>
      </c>
      <c r="I37" t="s">
        <v>235</v>
      </c>
      <c r="J37" t="s">
        <v>237</v>
      </c>
      <c r="K37" t="s">
        <v>243</v>
      </c>
      <c r="L37" t="s">
        <v>390</v>
      </c>
      <c r="M37" t="str">
        <f>VLOOKUP(L37,new!L:L,1,0)</f>
        <v>F000036442100442003102134Parillis_Joseph_AnthonyAssociate Director250,000</v>
      </c>
    </row>
    <row r="38" spans="1:13" x14ac:dyDescent="0.2">
      <c r="A38" t="s">
        <v>47</v>
      </c>
      <c r="B38" t="s">
        <v>214</v>
      </c>
      <c r="C38" t="s">
        <v>217</v>
      </c>
      <c r="D38" t="s">
        <v>212</v>
      </c>
      <c r="E38" t="s">
        <v>220</v>
      </c>
      <c r="F38">
        <v>102672</v>
      </c>
      <c r="G38" t="s">
        <v>225</v>
      </c>
      <c r="H38" t="s">
        <v>225</v>
      </c>
      <c r="I38" t="s">
        <v>235</v>
      </c>
      <c r="J38" t="s">
        <v>238</v>
      </c>
      <c r="K38" t="s">
        <v>240</v>
      </c>
      <c r="L38" t="s">
        <v>413</v>
      </c>
      <c r="M38" t="str">
        <f>VLOOKUP(L38,new!L:L,1,0)</f>
        <v>F000037442003445047102672Hart_ChristopherManaging Director500,000</v>
      </c>
    </row>
    <row r="39" spans="1:13" x14ac:dyDescent="0.2">
      <c r="A39" t="s">
        <v>48</v>
      </c>
      <c r="B39" t="s">
        <v>212</v>
      </c>
      <c r="C39" t="s">
        <v>217</v>
      </c>
      <c r="D39" t="s">
        <v>213</v>
      </c>
      <c r="E39" t="s">
        <v>222</v>
      </c>
      <c r="F39">
        <v>102141</v>
      </c>
      <c r="G39" t="s">
        <v>227</v>
      </c>
      <c r="H39" t="s">
        <v>225</v>
      </c>
      <c r="I39" t="s">
        <v>235</v>
      </c>
      <c r="J39" t="s">
        <v>239</v>
      </c>
      <c r="K39" t="s">
        <v>241</v>
      </c>
      <c r="L39" t="s">
        <v>523</v>
      </c>
      <c r="M39" t="e">
        <f>VLOOKUP(L39,new!L:L,1,0)</f>
        <v>#N/A</v>
      </c>
    </row>
    <row r="40" spans="1:13" x14ac:dyDescent="0.2">
      <c r="A40" t="s">
        <v>49</v>
      </c>
      <c r="B40" t="s">
        <v>213</v>
      </c>
      <c r="C40" t="s">
        <v>219</v>
      </c>
      <c r="D40" t="s">
        <v>213</v>
      </c>
      <c r="E40" t="s">
        <v>222</v>
      </c>
      <c r="F40">
        <v>102320</v>
      </c>
      <c r="G40" t="s">
        <v>229</v>
      </c>
      <c r="H40" t="s">
        <v>224</v>
      </c>
      <c r="I40" t="s">
        <v>235</v>
      </c>
      <c r="J40" t="s">
        <v>239</v>
      </c>
      <c r="K40" t="s">
        <v>240</v>
      </c>
      <c r="L40" t="s">
        <v>368</v>
      </c>
      <c r="M40" t="str">
        <f>VLOOKUP(L40,new!L:L,1,0)</f>
        <v>F000039442100442100102320Jonathan_CancrcoPrincipal500,000</v>
      </c>
    </row>
    <row r="41" spans="1:13" x14ac:dyDescent="0.2">
      <c r="A41" t="s">
        <v>50</v>
      </c>
      <c r="B41" t="s">
        <v>211</v>
      </c>
      <c r="C41" t="s">
        <v>218</v>
      </c>
      <c r="D41" t="s">
        <v>211</v>
      </c>
      <c r="E41" t="s">
        <v>218</v>
      </c>
      <c r="F41">
        <v>103556</v>
      </c>
      <c r="G41" t="s">
        <v>233</v>
      </c>
      <c r="H41" t="s">
        <v>224</v>
      </c>
      <c r="I41" t="s">
        <v>235</v>
      </c>
      <c r="J41" t="s">
        <v>238</v>
      </c>
      <c r="K41" t="s">
        <v>243</v>
      </c>
      <c r="L41" t="s">
        <v>524</v>
      </c>
      <c r="M41" t="e">
        <f>VLOOKUP(L41,new!L:L,1,0)</f>
        <v>#N/A</v>
      </c>
    </row>
    <row r="42" spans="1:13" x14ac:dyDescent="0.2">
      <c r="A42" t="s">
        <v>51</v>
      </c>
      <c r="B42" t="s">
        <v>215</v>
      </c>
      <c r="C42" t="s">
        <v>218</v>
      </c>
      <c r="D42" t="s">
        <v>212</v>
      </c>
      <c r="E42" t="s">
        <v>220</v>
      </c>
      <c r="F42">
        <v>101832</v>
      </c>
      <c r="G42" t="s">
        <v>227</v>
      </c>
      <c r="H42" t="s">
        <v>228</v>
      </c>
      <c r="I42" t="s">
        <v>235</v>
      </c>
      <c r="J42" t="s">
        <v>238</v>
      </c>
      <c r="K42" t="s">
        <v>242</v>
      </c>
      <c r="L42" t="s">
        <v>525</v>
      </c>
      <c r="M42" t="e">
        <f>VLOOKUP(L42,new!L:L,1,0)</f>
        <v>#N/A</v>
      </c>
    </row>
    <row r="43" spans="1:13" x14ac:dyDescent="0.2">
      <c r="A43" t="s">
        <v>52</v>
      </c>
      <c r="B43" t="s">
        <v>214</v>
      </c>
      <c r="C43" t="s">
        <v>219</v>
      </c>
      <c r="D43" t="s">
        <v>215</v>
      </c>
      <c r="E43" t="s">
        <v>220</v>
      </c>
      <c r="F43">
        <v>101956</v>
      </c>
      <c r="G43" t="s">
        <v>231</v>
      </c>
      <c r="H43" t="s">
        <v>230</v>
      </c>
      <c r="I43" t="s">
        <v>235</v>
      </c>
      <c r="J43" t="s">
        <v>238</v>
      </c>
      <c r="K43" t="s">
        <v>241</v>
      </c>
      <c r="L43" t="s">
        <v>399</v>
      </c>
      <c r="M43" t="str">
        <f>VLOOKUP(L43,new!L:L,1,0)</f>
        <v>F000042442003442005101956Shinde_AshutoshManaging Director100,000</v>
      </c>
    </row>
    <row r="44" spans="1:13" x14ac:dyDescent="0.2">
      <c r="A44" t="s">
        <v>53</v>
      </c>
      <c r="B44" t="s">
        <v>213</v>
      </c>
      <c r="C44" t="s">
        <v>219</v>
      </c>
      <c r="D44" t="s">
        <v>214</v>
      </c>
      <c r="E44" t="s">
        <v>222</v>
      </c>
      <c r="F44">
        <v>101830</v>
      </c>
      <c r="G44" t="s">
        <v>231</v>
      </c>
      <c r="H44" t="s">
        <v>234</v>
      </c>
      <c r="I44" t="s">
        <v>235</v>
      </c>
      <c r="J44" t="s">
        <v>237</v>
      </c>
      <c r="K44" t="s">
        <v>243</v>
      </c>
      <c r="L44" t="s">
        <v>392</v>
      </c>
      <c r="M44" t="str">
        <f>VLOOKUP(L44,new!L:L,1,0)</f>
        <v>F000043442100442003101830Limonpierre_IanAssociate Director250,000</v>
      </c>
    </row>
    <row r="45" spans="1:13" x14ac:dyDescent="0.2">
      <c r="A45" t="s">
        <v>54</v>
      </c>
      <c r="B45" t="s">
        <v>211</v>
      </c>
      <c r="C45" t="s">
        <v>217</v>
      </c>
      <c r="D45" t="s">
        <v>215</v>
      </c>
      <c r="E45" t="s">
        <v>218</v>
      </c>
      <c r="F45">
        <v>102751</v>
      </c>
      <c r="G45" t="s">
        <v>229</v>
      </c>
      <c r="H45" t="s">
        <v>227</v>
      </c>
      <c r="I45" t="s">
        <v>235</v>
      </c>
      <c r="J45" t="s">
        <v>237</v>
      </c>
      <c r="K45" t="s">
        <v>241</v>
      </c>
      <c r="L45" t="s">
        <v>526</v>
      </c>
      <c r="M45" t="e">
        <f>VLOOKUP(L45,new!L:L,1,0)</f>
        <v>#N/A</v>
      </c>
    </row>
    <row r="46" spans="1:13" x14ac:dyDescent="0.2">
      <c r="A46" t="s">
        <v>55</v>
      </c>
      <c r="B46" t="s">
        <v>214</v>
      </c>
      <c r="C46" t="s">
        <v>216</v>
      </c>
      <c r="D46" t="s">
        <v>211</v>
      </c>
      <c r="E46" t="s">
        <v>222</v>
      </c>
      <c r="F46">
        <v>101621</v>
      </c>
      <c r="G46" t="s">
        <v>233</v>
      </c>
      <c r="H46" t="s">
        <v>226</v>
      </c>
      <c r="I46" t="s">
        <v>235</v>
      </c>
      <c r="J46" t="s">
        <v>238</v>
      </c>
      <c r="K46" t="s">
        <v>243</v>
      </c>
      <c r="L46" t="s">
        <v>527</v>
      </c>
      <c r="M46" t="e">
        <f>VLOOKUP(L46,new!L:L,1,0)</f>
        <v>#N/A</v>
      </c>
    </row>
    <row r="47" spans="1:13" x14ac:dyDescent="0.2">
      <c r="A47" t="s">
        <v>56</v>
      </c>
      <c r="B47" t="s">
        <v>212</v>
      </c>
      <c r="C47" t="s">
        <v>217</v>
      </c>
      <c r="D47" t="s">
        <v>214</v>
      </c>
      <c r="E47" t="s">
        <v>218</v>
      </c>
      <c r="F47">
        <v>102896</v>
      </c>
      <c r="G47" t="s">
        <v>225</v>
      </c>
      <c r="H47" t="s">
        <v>232</v>
      </c>
      <c r="I47" t="s">
        <v>235</v>
      </c>
      <c r="J47" t="s">
        <v>237</v>
      </c>
      <c r="K47" t="s">
        <v>243</v>
      </c>
      <c r="L47" t="s">
        <v>335</v>
      </c>
      <c r="M47" t="str">
        <f>VLOOKUP(L47,new!L:L,1,0)</f>
        <v>F000046445047442003102896Pinto_Miguel_AnthonyAssociate Director250,000</v>
      </c>
    </row>
    <row r="48" spans="1:13" x14ac:dyDescent="0.2">
      <c r="A48" t="s">
        <v>57</v>
      </c>
      <c r="B48" t="s">
        <v>213</v>
      </c>
      <c r="C48" t="s">
        <v>217</v>
      </c>
      <c r="D48" t="s">
        <v>211</v>
      </c>
      <c r="E48" t="s">
        <v>218</v>
      </c>
      <c r="F48">
        <v>103368</v>
      </c>
      <c r="G48" t="s">
        <v>225</v>
      </c>
      <c r="H48" t="s">
        <v>228</v>
      </c>
      <c r="I48" t="s">
        <v>235</v>
      </c>
      <c r="J48" t="s">
        <v>237</v>
      </c>
      <c r="K48" t="s">
        <v>243</v>
      </c>
      <c r="L48" t="s">
        <v>408</v>
      </c>
      <c r="M48" t="str">
        <f>VLOOKUP(L48,new!L:L,1,0)</f>
        <v>F000047442100443045103368Masud_ShahidAssociate Director250,000</v>
      </c>
    </row>
    <row r="49" spans="1:13" x14ac:dyDescent="0.2">
      <c r="A49" t="s">
        <v>58</v>
      </c>
      <c r="B49" t="s">
        <v>211</v>
      </c>
      <c r="C49" t="s">
        <v>217</v>
      </c>
      <c r="D49" t="s">
        <v>211</v>
      </c>
      <c r="E49" t="s">
        <v>223</v>
      </c>
      <c r="F49">
        <v>102614</v>
      </c>
      <c r="G49" t="s">
        <v>233</v>
      </c>
      <c r="H49" t="s">
        <v>224</v>
      </c>
      <c r="I49" t="s">
        <v>235</v>
      </c>
      <c r="J49" t="s">
        <v>237</v>
      </c>
      <c r="K49" t="s">
        <v>240</v>
      </c>
      <c r="L49" t="s">
        <v>528</v>
      </c>
      <c r="M49" t="e">
        <f>VLOOKUP(L49,new!L:L,1,0)</f>
        <v>#N/A</v>
      </c>
    </row>
    <row r="50" spans="1:13" x14ac:dyDescent="0.2">
      <c r="A50" t="s">
        <v>59</v>
      </c>
      <c r="B50" t="s">
        <v>212</v>
      </c>
      <c r="C50" t="s">
        <v>216</v>
      </c>
      <c r="D50" t="s">
        <v>213</v>
      </c>
      <c r="E50" t="s">
        <v>218</v>
      </c>
      <c r="F50">
        <v>101475</v>
      </c>
      <c r="G50" t="s">
        <v>229</v>
      </c>
      <c r="H50" t="s">
        <v>233</v>
      </c>
      <c r="I50" t="s">
        <v>235</v>
      </c>
      <c r="J50" t="s">
        <v>237</v>
      </c>
      <c r="K50" t="s">
        <v>242</v>
      </c>
      <c r="L50" t="s">
        <v>529</v>
      </c>
      <c r="M50" t="e">
        <f>VLOOKUP(L50,new!L:L,1,0)</f>
        <v>#N/A</v>
      </c>
    </row>
    <row r="51" spans="1:13" x14ac:dyDescent="0.2">
      <c r="A51" t="s">
        <v>60</v>
      </c>
      <c r="B51" t="s">
        <v>212</v>
      </c>
      <c r="C51" t="s">
        <v>218</v>
      </c>
      <c r="D51" t="s">
        <v>214</v>
      </c>
      <c r="E51" t="s">
        <v>223</v>
      </c>
      <c r="F51">
        <v>103598</v>
      </c>
      <c r="G51" t="s">
        <v>232</v>
      </c>
      <c r="H51" t="s">
        <v>233</v>
      </c>
      <c r="I51" t="s">
        <v>235</v>
      </c>
      <c r="J51" t="s">
        <v>236</v>
      </c>
      <c r="K51" t="s">
        <v>243</v>
      </c>
      <c r="L51" t="s">
        <v>530</v>
      </c>
      <c r="M51" t="e">
        <f>VLOOKUP(L51,new!L:L,1,0)</f>
        <v>#N/A</v>
      </c>
    </row>
    <row r="52" spans="1:13" x14ac:dyDescent="0.2">
      <c r="A52" t="s">
        <v>61</v>
      </c>
      <c r="B52" t="s">
        <v>214</v>
      </c>
      <c r="C52" t="s">
        <v>218</v>
      </c>
      <c r="D52" t="s">
        <v>215</v>
      </c>
      <c r="E52" t="s">
        <v>218</v>
      </c>
      <c r="F52">
        <v>102318</v>
      </c>
      <c r="G52" t="s">
        <v>224</v>
      </c>
      <c r="H52" t="s">
        <v>229</v>
      </c>
      <c r="I52" t="s">
        <v>235</v>
      </c>
      <c r="J52" t="s">
        <v>237</v>
      </c>
      <c r="K52" t="s">
        <v>241</v>
      </c>
      <c r="L52" t="s">
        <v>531</v>
      </c>
      <c r="M52" t="e">
        <f>VLOOKUP(L52,new!L:L,1,0)</f>
        <v>#N/A</v>
      </c>
    </row>
    <row r="53" spans="1:13" x14ac:dyDescent="0.2">
      <c r="A53" t="s">
        <v>62</v>
      </c>
      <c r="B53" t="s">
        <v>214</v>
      </c>
      <c r="C53" t="s">
        <v>218</v>
      </c>
      <c r="D53" t="s">
        <v>214</v>
      </c>
      <c r="E53" t="s">
        <v>221</v>
      </c>
      <c r="F53">
        <v>102169</v>
      </c>
      <c r="G53" t="s">
        <v>229</v>
      </c>
      <c r="H53" t="s">
        <v>226</v>
      </c>
      <c r="I53" t="s">
        <v>235</v>
      </c>
      <c r="J53" t="s">
        <v>237</v>
      </c>
      <c r="K53" t="s">
        <v>242</v>
      </c>
      <c r="L53" t="s">
        <v>396</v>
      </c>
      <c r="M53" t="str">
        <f>VLOOKUP(L53,new!L:L,1,0)</f>
        <v>F000052442003442003102169Verderaime_JosephAssociate Director&gt;1,000,000</v>
      </c>
    </row>
    <row r="54" spans="1:13" x14ac:dyDescent="0.2">
      <c r="A54" t="s">
        <v>63</v>
      </c>
      <c r="B54" t="s">
        <v>215</v>
      </c>
      <c r="C54" t="s">
        <v>219</v>
      </c>
      <c r="D54" t="s">
        <v>215</v>
      </c>
      <c r="E54" t="s">
        <v>221</v>
      </c>
      <c r="F54">
        <v>102002</v>
      </c>
      <c r="G54" t="s">
        <v>227</v>
      </c>
      <c r="H54" t="s">
        <v>227</v>
      </c>
      <c r="I54" t="s">
        <v>235</v>
      </c>
      <c r="J54" t="s">
        <v>237</v>
      </c>
      <c r="K54" t="s">
        <v>240</v>
      </c>
      <c r="L54" t="s">
        <v>532</v>
      </c>
      <c r="M54" t="e">
        <f>VLOOKUP(L54,new!L:L,1,0)</f>
        <v>#N/A</v>
      </c>
    </row>
    <row r="55" spans="1:13" x14ac:dyDescent="0.2">
      <c r="A55" t="s">
        <v>64</v>
      </c>
      <c r="B55" t="s">
        <v>211</v>
      </c>
      <c r="C55" t="s">
        <v>219</v>
      </c>
      <c r="D55" t="s">
        <v>213</v>
      </c>
      <c r="E55" t="s">
        <v>223</v>
      </c>
      <c r="F55">
        <v>102861</v>
      </c>
      <c r="G55" t="s">
        <v>233</v>
      </c>
      <c r="H55" t="s">
        <v>231</v>
      </c>
      <c r="I55" t="s">
        <v>235</v>
      </c>
      <c r="J55" t="s">
        <v>237</v>
      </c>
      <c r="K55" t="s">
        <v>240</v>
      </c>
      <c r="L55" t="s">
        <v>533</v>
      </c>
      <c r="M55" t="e">
        <f>VLOOKUP(L55,new!L:L,1,0)</f>
        <v>#N/A</v>
      </c>
    </row>
    <row r="56" spans="1:13" x14ac:dyDescent="0.2">
      <c r="A56" t="s">
        <v>65</v>
      </c>
      <c r="B56" t="s">
        <v>214</v>
      </c>
      <c r="C56" t="s">
        <v>216</v>
      </c>
      <c r="D56" t="s">
        <v>214</v>
      </c>
      <c r="E56" t="s">
        <v>218</v>
      </c>
      <c r="F56">
        <v>103682</v>
      </c>
      <c r="G56" t="s">
        <v>232</v>
      </c>
      <c r="H56" t="s">
        <v>232</v>
      </c>
      <c r="I56" t="s">
        <v>235</v>
      </c>
      <c r="J56" t="s">
        <v>238</v>
      </c>
      <c r="K56" t="s">
        <v>241</v>
      </c>
      <c r="L56" t="s">
        <v>534</v>
      </c>
      <c r="M56" t="e">
        <f>VLOOKUP(L56,new!L:L,1,0)</f>
        <v>#N/A</v>
      </c>
    </row>
    <row r="57" spans="1:13" x14ac:dyDescent="0.2">
      <c r="A57" t="s">
        <v>66</v>
      </c>
      <c r="B57" t="s">
        <v>214</v>
      </c>
      <c r="C57" t="s">
        <v>216</v>
      </c>
      <c r="D57" t="s">
        <v>213</v>
      </c>
      <c r="E57" t="s">
        <v>223</v>
      </c>
      <c r="F57">
        <v>101131</v>
      </c>
      <c r="G57" t="s">
        <v>229</v>
      </c>
      <c r="H57" t="s">
        <v>228</v>
      </c>
      <c r="I57" t="s">
        <v>235</v>
      </c>
      <c r="J57" t="s">
        <v>238</v>
      </c>
      <c r="K57" t="s">
        <v>242</v>
      </c>
      <c r="L57" t="s">
        <v>358</v>
      </c>
      <c r="M57" t="str">
        <f>VLOOKUP(L57,new!L:L,1,0)</f>
        <v>F000056442003442100101131Masud_ShahidManaging Director&gt;1,000,000</v>
      </c>
    </row>
    <row r="58" spans="1:13" x14ac:dyDescent="0.2">
      <c r="A58" t="s">
        <v>67</v>
      </c>
      <c r="B58" t="s">
        <v>214</v>
      </c>
      <c r="C58" t="s">
        <v>218</v>
      </c>
      <c r="D58" t="s">
        <v>215</v>
      </c>
      <c r="E58" t="s">
        <v>218</v>
      </c>
      <c r="F58">
        <v>102325</v>
      </c>
      <c r="G58" t="s">
        <v>234</v>
      </c>
      <c r="H58" t="s">
        <v>234</v>
      </c>
      <c r="I58" t="s">
        <v>235</v>
      </c>
      <c r="J58" t="s">
        <v>239</v>
      </c>
      <c r="K58" t="s">
        <v>240</v>
      </c>
      <c r="L58" t="s">
        <v>342</v>
      </c>
      <c r="M58" t="str">
        <f>VLOOKUP(L58,new!L:L,1,0)</f>
        <v>F000057442003442005102325Limonpierre_IanPrincipal500,000</v>
      </c>
    </row>
    <row r="59" spans="1:13" x14ac:dyDescent="0.2">
      <c r="A59" t="s">
        <v>68</v>
      </c>
      <c r="B59" t="s">
        <v>213</v>
      </c>
      <c r="C59" t="s">
        <v>219</v>
      </c>
      <c r="D59" t="s">
        <v>215</v>
      </c>
      <c r="E59" t="s">
        <v>223</v>
      </c>
      <c r="F59">
        <v>101378</v>
      </c>
      <c r="G59" t="s">
        <v>228</v>
      </c>
      <c r="H59" t="s">
        <v>233</v>
      </c>
      <c r="I59" t="s">
        <v>235</v>
      </c>
      <c r="J59" t="s">
        <v>236</v>
      </c>
      <c r="K59" t="s">
        <v>242</v>
      </c>
      <c r="L59" t="s">
        <v>535</v>
      </c>
      <c r="M59" t="e">
        <f>VLOOKUP(L59,new!L:L,1,0)</f>
        <v>#N/A</v>
      </c>
    </row>
    <row r="60" spans="1:13" x14ac:dyDescent="0.2">
      <c r="A60" t="s">
        <v>69</v>
      </c>
      <c r="B60" t="s">
        <v>214</v>
      </c>
      <c r="C60" t="s">
        <v>217</v>
      </c>
      <c r="D60" t="s">
        <v>214</v>
      </c>
      <c r="E60" t="s">
        <v>221</v>
      </c>
      <c r="F60">
        <v>102763</v>
      </c>
      <c r="G60" t="s">
        <v>227</v>
      </c>
      <c r="H60" t="s">
        <v>227</v>
      </c>
      <c r="I60" t="s">
        <v>235</v>
      </c>
      <c r="J60" t="s">
        <v>239</v>
      </c>
      <c r="K60" t="s">
        <v>241</v>
      </c>
      <c r="L60" t="s">
        <v>536</v>
      </c>
      <c r="M60" t="e">
        <f>VLOOKUP(L60,new!L:L,1,0)</f>
        <v>#N/A</v>
      </c>
    </row>
    <row r="61" spans="1:13" x14ac:dyDescent="0.2">
      <c r="A61" t="s">
        <v>70</v>
      </c>
      <c r="B61" t="s">
        <v>215</v>
      </c>
      <c r="C61" t="s">
        <v>216</v>
      </c>
      <c r="D61" t="s">
        <v>213</v>
      </c>
      <c r="E61" t="s">
        <v>221</v>
      </c>
      <c r="F61">
        <v>102735</v>
      </c>
      <c r="G61" t="s">
        <v>232</v>
      </c>
      <c r="H61" t="s">
        <v>231</v>
      </c>
      <c r="I61" t="s">
        <v>235</v>
      </c>
      <c r="J61" t="s">
        <v>239</v>
      </c>
      <c r="K61" t="s">
        <v>242</v>
      </c>
      <c r="L61" t="s">
        <v>537</v>
      </c>
      <c r="M61" t="e">
        <f>VLOOKUP(L61,new!L:L,1,0)</f>
        <v>#N/A</v>
      </c>
    </row>
    <row r="62" spans="1:13" x14ac:dyDescent="0.2">
      <c r="A62" t="s">
        <v>71</v>
      </c>
      <c r="B62" t="s">
        <v>215</v>
      </c>
      <c r="C62" t="s">
        <v>219</v>
      </c>
      <c r="D62" t="s">
        <v>213</v>
      </c>
      <c r="E62" t="s">
        <v>220</v>
      </c>
      <c r="F62">
        <v>102755</v>
      </c>
      <c r="G62" t="s">
        <v>228</v>
      </c>
      <c r="H62" t="s">
        <v>226</v>
      </c>
      <c r="I62" t="s">
        <v>235</v>
      </c>
      <c r="J62" t="s">
        <v>236</v>
      </c>
      <c r="K62" t="s">
        <v>243</v>
      </c>
      <c r="L62" t="s">
        <v>351</v>
      </c>
      <c r="M62" t="str">
        <f>VLOOKUP(L62,new!L:L,1,0)</f>
        <v>F000061442005442100102755Verderaime_JosephDirector250,000</v>
      </c>
    </row>
    <row r="63" spans="1:13" x14ac:dyDescent="0.2">
      <c r="A63" t="s">
        <v>72</v>
      </c>
      <c r="B63" t="s">
        <v>211</v>
      </c>
      <c r="C63" t="s">
        <v>217</v>
      </c>
      <c r="D63" t="s">
        <v>214</v>
      </c>
      <c r="E63" t="s">
        <v>221</v>
      </c>
      <c r="F63">
        <v>103827</v>
      </c>
      <c r="G63" t="s">
        <v>232</v>
      </c>
      <c r="H63" t="s">
        <v>233</v>
      </c>
      <c r="I63" t="s">
        <v>235</v>
      </c>
      <c r="J63" t="s">
        <v>237</v>
      </c>
      <c r="K63" t="s">
        <v>242</v>
      </c>
      <c r="L63" t="s">
        <v>415</v>
      </c>
      <c r="M63" t="str">
        <f>VLOOKUP(L63,new!L:L,1,0)</f>
        <v>F000062443045442003103827Dallasykar_AjayAssociate Director&gt;1,000,000</v>
      </c>
    </row>
    <row r="64" spans="1:13" x14ac:dyDescent="0.2">
      <c r="A64" t="s">
        <v>73</v>
      </c>
      <c r="B64" t="s">
        <v>212</v>
      </c>
      <c r="C64" t="s">
        <v>218</v>
      </c>
      <c r="D64" t="s">
        <v>215</v>
      </c>
      <c r="E64" t="s">
        <v>220</v>
      </c>
      <c r="F64">
        <v>103445</v>
      </c>
      <c r="G64" t="s">
        <v>225</v>
      </c>
      <c r="H64" t="s">
        <v>228</v>
      </c>
      <c r="I64" t="s">
        <v>235</v>
      </c>
      <c r="J64" t="s">
        <v>236</v>
      </c>
      <c r="K64" t="s">
        <v>243</v>
      </c>
      <c r="L64" t="s">
        <v>538</v>
      </c>
      <c r="M64" t="e">
        <f>VLOOKUP(L64,new!L:L,1,0)</f>
        <v>#N/A</v>
      </c>
    </row>
    <row r="65" spans="1:13" x14ac:dyDescent="0.2">
      <c r="A65" t="s">
        <v>74</v>
      </c>
      <c r="B65" t="s">
        <v>213</v>
      </c>
      <c r="C65" t="s">
        <v>219</v>
      </c>
      <c r="D65" t="s">
        <v>215</v>
      </c>
      <c r="E65" t="s">
        <v>220</v>
      </c>
      <c r="F65">
        <v>102602</v>
      </c>
      <c r="G65" t="s">
        <v>230</v>
      </c>
      <c r="H65" t="s">
        <v>225</v>
      </c>
      <c r="I65" t="s">
        <v>235</v>
      </c>
      <c r="J65" t="s">
        <v>239</v>
      </c>
      <c r="K65" t="s">
        <v>242</v>
      </c>
      <c r="L65" t="s">
        <v>539</v>
      </c>
      <c r="M65" t="e">
        <f>VLOOKUP(L65,new!L:L,1,0)</f>
        <v>#N/A</v>
      </c>
    </row>
    <row r="66" spans="1:13" x14ac:dyDescent="0.2">
      <c r="A66" t="s">
        <v>75</v>
      </c>
      <c r="B66" t="s">
        <v>215</v>
      </c>
      <c r="C66" t="s">
        <v>219</v>
      </c>
      <c r="D66" t="s">
        <v>215</v>
      </c>
      <c r="E66" t="s">
        <v>218</v>
      </c>
      <c r="F66">
        <v>102309</v>
      </c>
      <c r="G66" t="s">
        <v>225</v>
      </c>
      <c r="H66" t="s">
        <v>232</v>
      </c>
      <c r="I66" t="s">
        <v>235</v>
      </c>
      <c r="J66" t="s">
        <v>236</v>
      </c>
      <c r="K66" t="s">
        <v>243</v>
      </c>
      <c r="L66" t="s">
        <v>540</v>
      </c>
      <c r="M66" t="e">
        <f>VLOOKUP(L66,new!L:L,1,0)</f>
        <v>#N/A</v>
      </c>
    </row>
    <row r="67" spans="1:13" x14ac:dyDescent="0.2">
      <c r="A67" t="s">
        <v>76</v>
      </c>
      <c r="B67" t="s">
        <v>211</v>
      </c>
      <c r="C67" t="s">
        <v>216</v>
      </c>
      <c r="D67" t="s">
        <v>214</v>
      </c>
      <c r="E67" t="s">
        <v>223</v>
      </c>
      <c r="F67">
        <v>103925</v>
      </c>
      <c r="G67" t="s">
        <v>226</v>
      </c>
      <c r="H67" t="s">
        <v>225</v>
      </c>
      <c r="I67" t="s">
        <v>235</v>
      </c>
      <c r="J67" t="s">
        <v>237</v>
      </c>
      <c r="K67" t="s">
        <v>240</v>
      </c>
      <c r="L67" t="s">
        <v>350</v>
      </c>
      <c r="M67" t="str">
        <f>VLOOKUP(L67,new!L:L,1,0)</f>
        <v>F000066443045442003103925Hart_ChristopherAssociate Director500,000</v>
      </c>
    </row>
    <row r="68" spans="1:13" x14ac:dyDescent="0.2">
      <c r="A68" t="s">
        <v>77</v>
      </c>
      <c r="B68" t="s">
        <v>212</v>
      </c>
      <c r="C68" t="s">
        <v>217</v>
      </c>
      <c r="D68" t="s">
        <v>215</v>
      </c>
      <c r="E68" t="s">
        <v>220</v>
      </c>
      <c r="F68">
        <v>101857</v>
      </c>
      <c r="G68" t="s">
        <v>225</v>
      </c>
      <c r="H68" t="s">
        <v>226</v>
      </c>
      <c r="I68" t="s">
        <v>235</v>
      </c>
      <c r="J68" t="s">
        <v>236</v>
      </c>
      <c r="K68" t="s">
        <v>240</v>
      </c>
      <c r="L68" t="s">
        <v>336</v>
      </c>
      <c r="M68" t="str">
        <f>VLOOKUP(L68,new!L:L,1,0)</f>
        <v>F000067445047442005101857Verderaime_JosephDirector500,000</v>
      </c>
    </row>
    <row r="69" spans="1:13" x14ac:dyDescent="0.2">
      <c r="A69" t="s">
        <v>78</v>
      </c>
      <c r="B69" t="s">
        <v>215</v>
      </c>
      <c r="C69" t="s">
        <v>216</v>
      </c>
      <c r="D69" t="s">
        <v>211</v>
      </c>
      <c r="E69" t="s">
        <v>218</v>
      </c>
      <c r="F69">
        <v>103008</v>
      </c>
      <c r="G69" t="s">
        <v>230</v>
      </c>
      <c r="H69" t="s">
        <v>228</v>
      </c>
      <c r="I69" t="s">
        <v>235</v>
      </c>
      <c r="J69" t="s">
        <v>236</v>
      </c>
      <c r="K69" t="s">
        <v>243</v>
      </c>
      <c r="L69" t="s">
        <v>353</v>
      </c>
      <c r="M69" t="str">
        <f>VLOOKUP(L69,new!L:L,1,0)</f>
        <v>F000068442005443045103008Masud_ShahidDirector250,000</v>
      </c>
    </row>
    <row r="70" spans="1:13" x14ac:dyDescent="0.2">
      <c r="A70" t="s">
        <v>79</v>
      </c>
      <c r="B70" t="s">
        <v>212</v>
      </c>
      <c r="C70" t="s">
        <v>216</v>
      </c>
      <c r="D70" t="s">
        <v>211</v>
      </c>
      <c r="E70" t="s">
        <v>223</v>
      </c>
      <c r="F70">
        <v>101426</v>
      </c>
      <c r="G70" t="s">
        <v>228</v>
      </c>
      <c r="H70" t="s">
        <v>229</v>
      </c>
      <c r="I70" t="s">
        <v>235</v>
      </c>
      <c r="J70" t="s">
        <v>237</v>
      </c>
      <c r="K70" t="s">
        <v>242</v>
      </c>
      <c r="L70" t="s">
        <v>345</v>
      </c>
      <c r="M70" t="str">
        <f>VLOOKUP(L70,new!L:L,1,0)</f>
        <v>F000069445047443045101426Gaffney_Jocelyn_KAssociate Director&gt;1,000,000</v>
      </c>
    </row>
    <row r="71" spans="1:13" x14ac:dyDescent="0.2">
      <c r="A71" t="s">
        <v>80</v>
      </c>
      <c r="B71" t="s">
        <v>211</v>
      </c>
      <c r="C71" t="s">
        <v>216</v>
      </c>
      <c r="D71" t="s">
        <v>213</v>
      </c>
      <c r="E71" t="s">
        <v>223</v>
      </c>
      <c r="F71">
        <v>103879</v>
      </c>
      <c r="G71" t="s">
        <v>225</v>
      </c>
      <c r="H71" t="s">
        <v>229</v>
      </c>
      <c r="I71" t="s">
        <v>235</v>
      </c>
      <c r="J71" t="s">
        <v>239</v>
      </c>
      <c r="K71" t="s">
        <v>241</v>
      </c>
      <c r="L71" t="s">
        <v>332</v>
      </c>
      <c r="M71" t="str">
        <f>VLOOKUP(L71,new!L:L,1,0)</f>
        <v>F000070443045442100103879Gaffney_Jocelyn_KPrincipal100,000</v>
      </c>
    </row>
    <row r="72" spans="1:13" x14ac:dyDescent="0.2">
      <c r="A72" t="s">
        <v>81</v>
      </c>
      <c r="B72" t="s">
        <v>213</v>
      </c>
      <c r="C72" t="s">
        <v>218</v>
      </c>
      <c r="D72" t="s">
        <v>213</v>
      </c>
      <c r="E72" t="s">
        <v>222</v>
      </c>
      <c r="F72">
        <v>101226</v>
      </c>
      <c r="G72" t="s">
        <v>230</v>
      </c>
      <c r="H72" t="s">
        <v>226</v>
      </c>
      <c r="I72" t="s">
        <v>235</v>
      </c>
      <c r="J72" t="s">
        <v>238</v>
      </c>
      <c r="K72" t="s">
        <v>242</v>
      </c>
      <c r="L72" t="s">
        <v>541</v>
      </c>
      <c r="M72" t="e">
        <f>VLOOKUP(L72,new!L:L,1,0)</f>
        <v>#N/A</v>
      </c>
    </row>
    <row r="73" spans="1:13" x14ac:dyDescent="0.2">
      <c r="A73" t="s">
        <v>82</v>
      </c>
      <c r="B73" t="s">
        <v>214</v>
      </c>
      <c r="C73" t="s">
        <v>218</v>
      </c>
      <c r="D73" t="s">
        <v>214</v>
      </c>
      <c r="E73" t="s">
        <v>222</v>
      </c>
      <c r="F73">
        <v>101220</v>
      </c>
      <c r="G73" t="s">
        <v>224</v>
      </c>
      <c r="H73" t="s">
        <v>230</v>
      </c>
      <c r="I73" t="s">
        <v>235</v>
      </c>
      <c r="J73" t="s">
        <v>237</v>
      </c>
      <c r="K73" t="s">
        <v>241</v>
      </c>
      <c r="L73" t="s">
        <v>542</v>
      </c>
      <c r="M73" t="e">
        <f>VLOOKUP(L73,new!L:L,1,0)</f>
        <v>#N/A</v>
      </c>
    </row>
    <row r="74" spans="1:13" x14ac:dyDescent="0.2">
      <c r="A74" t="s">
        <v>83</v>
      </c>
      <c r="B74" t="s">
        <v>213</v>
      </c>
      <c r="C74" t="s">
        <v>217</v>
      </c>
      <c r="D74" t="s">
        <v>213</v>
      </c>
      <c r="E74" t="s">
        <v>220</v>
      </c>
      <c r="F74">
        <v>101010</v>
      </c>
      <c r="G74" t="s">
        <v>230</v>
      </c>
      <c r="H74" t="s">
        <v>231</v>
      </c>
      <c r="I74" t="s">
        <v>235</v>
      </c>
      <c r="J74" t="s">
        <v>239</v>
      </c>
      <c r="K74" t="s">
        <v>240</v>
      </c>
      <c r="L74" t="s">
        <v>543</v>
      </c>
      <c r="M74" t="e">
        <f>VLOOKUP(L74,new!L:L,1,0)</f>
        <v>#N/A</v>
      </c>
    </row>
    <row r="75" spans="1:13" x14ac:dyDescent="0.2">
      <c r="A75" t="s">
        <v>84</v>
      </c>
      <c r="B75" t="s">
        <v>212</v>
      </c>
      <c r="C75" t="s">
        <v>218</v>
      </c>
      <c r="D75" t="s">
        <v>211</v>
      </c>
      <c r="E75" t="s">
        <v>221</v>
      </c>
      <c r="F75">
        <v>103355</v>
      </c>
      <c r="G75" t="s">
        <v>232</v>
      </c>
      <c r="H75" t="s">
        <v>234</v>
      </c>
      <c r="I75" t="s">
        <v>235</v>
      </c>
      <c r="J75" t="s">
        <v>236</v>
      </c>
      <c r="K75" t="s">
        <v>242</v>
      </c>
      <c r="L75" t="s">
        <v>381</v>
      </c>
      <c r="M75" t="str">
        <f>VLOOKUP(L75,new!L:L,1,0)</f>
        <v>F000074445047443045103355Limonpierre_IanDirector&gt;1,000,000</v>
      </c>
    </row>
    <row r="76" spans="1:13" x14ac:dyDescent="0.2">
      <c r="A76" t="s">
        <v>85</v>
      </c>
      <c r="B76" t="s">
        <v>213</v>
      </c>
      <c r="C76" t="s">
        <v>217</v>
      </c>
      <c r="D76" t="s">
        <v>215</v>
      </c>
      <c r="E76" t="s">
        <v>220</v>
      </c>
      <c r="F76">
        <v>103083</v>
      </c>
      <c r="G76" t="s">
        <v>224</v>
      </c>
      <c r="H76" t="s">
        <v>225</v>
      </c>
      <c r="I76" t="s">
        <v>235</v>
      </c>
      <c r="J76" t="s">
        <v>237</v>
      </c>
      <c r="K76" t="s">
        <v>242</v>
      </c>
      <c r="L76" t="s">
        <v>544</v>
      </c>
      <c r="M76" t="e">
        <f>VLOOKUP(L76,new!L:L,1,0)</f>
        <v>#N/A</v>
      </c>
    </row>
    <row r="77" spans="1:13" x14ac:dyDescent="0.2">
      <c r="A77" t="s">
        <v>86</v>
      </c>
      <c r="B77" t="s">
        <v>213</v>
      </c>
      <c r="C77" t="s">
        <v>216</v>
      </c>
      <c r="D77" t="s">
        <v>212</v>
      </c>
      <c r="E77" t="s">
        <v>218</v>
      </c>
      <c r="F77">
        <v>102657</v>
      </c>
      <c r="G77" t="s">
        <v>224</v>
      </c>
      <c r="H77" t="s">
        <v>233</v>
      </c>
      <c r="I77" t="s">
        <v>235</v>
      </c>
      <c r="J77" t="s">
        <v>236</v>
      </c>
      <c r="K77" t="s">
        <v>242</v>
      </c>
      <c r="L77" t="s">
        <v>359</v>
      </c>
      <c r="M77" t="str">
        <f>VLOOKUP(L77,new!L:L,1,0)</f>
        <v>F000076442100445047102657Dallasykar_AjayDirector&gt;1,000,000</v>
      </c>
    </row>
    <row r="78" spans="1:13" x14ac:dyDescent="0.2">
      <c r="A78" t="s">
        <v>87</v>
      </c>
      <c r="B78" t="s">
        <v>211</v>
      </c>
      <c r="C78" t="s">
        <v>216</v>
      </c>
      <c r="D78" t="s">
        <v>214</v>
      </c>
      <c r="E78" t="s">
        <v>222</v>
      </c>
      <c r="F78">
        <v>102680</v>
      </c>
      <c r="G78" t="s">
        <v>228</v>
      </c>
      <c r="H78" t="s">
        <v>231</v>
      </c>
      <c r="I78" t="s">
        <v>235</v>
      </c>
      <c r="J78" t="s">
        <v>238</v>
      </c>
      <c r="K78" t="s">
        <v>243</v>
      </c>
      <c r="L78" t="s">
        <v>365</v>
      </c>
      <c r="M78" t="str">
        <f>VLOOKUP(L78,new!L:L,1,0)</f>
        <v>F000077443045442003102680Thakkar_AshishManaging Director250,000</v>
      </c>
    </row>
    <row r="79" spans="1:13" x14ac:dyDescent="0.2">
      <c r="A79" t="s">
        <v>88</v>
      </c>
      <c r="B79" t="s">
        <v>212</v>
      </c>
      <c r="C79" t="s">
        <v>216</v>
      </c>
      <c r="D79" t="s">
        <v>211</v>
      </c>
      <c r="E79" t="s">
        <v>221</v>
      </c>
      <c r="F79">
        <v>101519</v>
      </c>
      <c r="G79" t="s">
        <v>229</v>
      </c>
      <c r="H79" t="s">
        <v>226</v>
      </c>
      <c r="I79" t="s">
        <v>235</v>
      </c>
      <c r="J79" t="s">
        <v>236</v>
      </c>
      <c r="K79" t="s">
        <v>240</v>
      </c>
      <c r="L79" t="s">
        <v>407</v>
      </c>
      <c r="M79" t="str">
        <f>VLOOKUP(L79,new!L:L,1,0)</f>
        <v>F000078445047443045101519Verderaime_JosephDirector500,000</v>
      </c>
    </row>
    <row r="80" spans="1:13" x14ac:dyDescent="0.2">
      <c r="A80" t="s">
        <v>89</v>
      </c>
      <c r="B80" t="s">
        <v>214</v>
      </c>
      <c r="C80" t="s">
        <v>217</v>
      </c>
      <c r="D80" t="s">
        <v>211</v>
      </c>
      <c r="E80" t="s">
        <v>220</v>
      </c>
      <c r="F80">
        <v>102490</v>
      </c>
      <c r="G80" t="s">
        <v>232</v>
      </c>
      <c r="H80" t="s">
        <v>228</v>
      </c>
      <c r="I80" t="s">
        <v>235</v>
      </c>
      <c r="J80" t="s">
        <v>236</v>
      </c>
      <c r="K80" t="s">
        <v>240</v>
      </c>
      <c r="L80" t="s">
        <v>339</v>
      </c>
      <c r="M80" t="str">
        <f>VLOOKUP(L80,new!L:L,1,0)</f>
        <v>F000079442003443045102490Masud_ShahidDirector500,000</v>
      </c>
    </row>
    <row r="81" spans="1:13" x14ac:dyDescent="0.2">
      <c r="A81" t="s">
        <v>90</v>
      </c>
      <c r="B81" t="s">
        <v>214</v>
      </c>
      <c r="C81" t="s">
        <v>216</v>
      </c>
      <c r="D81" t="s">
        <v>213</v>
      </c>
      <c r="E81" t="s">
        <v>223</v>
      </c>
      <c r="F81">
        <v>101630</v>
      </c>
      <c r="G81" t="s">
        <v>233</v>
      </c>
      <c r="H81" t="s">
        <v>224</v>
      </c>
      <c r="I81" t="s">
        <v>235</v>
      </c>
      <c r="J81" t="s">
        <v>236</v>
      </c>
      <c r="K81" t="s">
        <v>242</v>
      </c>
      <c r="L81" t="s">
        <v>366</v>
      </c>
      <c r="M81" t="str">
        <f>VLOOKUP(L81,new!L:L,1,0)</f>
        <v>F000080442003442100101630Jonathan_CancrcoDirector&gt;1,000,000</v>
      </c>
    </row>
    <row r="82" spans="1:13" x14ac:dyDescent="0.2">
      <c r="A82" t="s">
        <v>91</v>
      </c>
      <c r="B82" t="s">
        <v>211</v>
      </c>
      <c r="C82" t="s">
        <v>218</v>
      </c>
      <c r="D82" t="s">
        <v>212</v>
      </c>
      <c r="E82" t="s">
        <v>221</v>
      </c>
      <c r="F82">
        <v>101501</v>
      </c>
      <c r="G82" t="s">
        <v>234</v>
      </c>
      <c r="H82" t="s">
        <v>230</v>
      </c>
      <c r="I82" t="s">
        <v>235</v>
      </c>
      <c r="J82" t="s">
        <v>237</v>
      </c>
      <c r="K82" t="s">
        <v>243</v>
      </c>
      <c r="L82" t="s">
        <v>545</v>
      </c>
      <c r="M82" t="e">
        <f>VLOOKUP(L82,new!L:L,1,0)</f>
        <v>#N/A</v>
      </c>
    </row>
    <row r="83" spans="1:13" x14ac:dyDescent="0.2">
      <c r="A83" t="s">
        <v>92</v>
      </c>
      <c r="B83" t="s">
        <v>215</v>
      </c>
      <c r="C83" t="s">
        <v>219</v>
      </c>
      <c r="D83" t="s">
        <v>214</v>
      </c>
      <c r="E83" t="s">
        <v>218</v>
      </c>
      <c r="F83">
        <v>101709</v>
      </c>
      <c r="G83" t="s">
        <v>229</v>
      </c>
      <c r="H83" t="s">
        <v>229</v>
      </c>
      <c r="I83" t="s">
        <v>235</v>
      </c>
      <c r="J83" t="s">
        <v>236</v>
      </c>
      <c r="K83" t="s">
        <v>241</v>
      </c>
      <c r="L83" t="s">
        <v>546</v>
      </c>
      <c r="M83" t="e">
        <f>VLOOKUP(L83,new!L:L,1,0)</f>
        <v>#N/A</v>
      </c>
    </row>
    <row r="84" spans="1:13" x14ac:dyDescent="0.2">
      <c r="A84" t="s">
        <v>93</v>
      </c>
      <c r="B84" t="s">
        <v>213</v>
      </c>
      <c r="C84" t="s">
        <v>219</v>
      </c>
      <c r="D84" t="s">
        <v>211</v>
      </c>
      <c r="E84" t="s">
        <v>218</v>
      </c>
      <c r="F84">
        <v>102520</v>
      </c>
      <c r="G84" t="s">
        <v>231</v>
      </c>
      <c r="H84" t="s">
        <v>232</v>
      </c>
      <c r="I84" t="s">
        <v>235</v>
      </c>
      <c r="J84" t="s">
        <v>236</v>
      </c>
      <c r="K84" t="s">
        <v>243</v>
      </c>
      <c r="L84" t="s">
        <v>344</v>
      </c>
      <c r="M84" t="str">
        <f>VLOOKUP(L84,new!L:L,1,0)</f>
        <v>F000083442100443045102520Pinto_Miguel_AnthonyDirector250,000</v>
      </c>
    </row>
    <row r="85" spans="1:13" x14ac:dyDescent="0.2">
      <c r="A85" t="s">
        <v>94</v>
      </c>
      <c r="B85" t="s">
        <v>215</v>
      </c>
      <c r="C85" t="s">
        <v>218</v>
      </c>
      <c r="D85" t="s">
        <v>213</v>
      </c>
      <c r="E85" t="s">
        <v>218</v>
      </c>
      <c r="F85">
        <v>101278</v>
      </c>
      <c r="G85" t="s">
        <v>225</v>
      </c>
      <c r="H85" t="s">
        <v>226</v>
      </c>
      <c r="I85" t="s">
        <v>235</v>
      </c>
      <c r="J85" t="s">
        <v>237</v>
      </c>
      <c r="K85" t="s">
        <v>243</v>
      </c>
      <c r="L85" t="s">
        <v>547</v>
      </c>
      <c r="M85" t="e">
        <f>VLOOKUP(L85,new!L:L,1,0)</f>
        <v>#N/A</v>
      </c>
    </row>
    <row r="86" spans="1:13" x14ac:dyDescent="0.2">
      <c r="A86" t="s">
        <v>95</v>
      </c>
      <c r="B86" t="s">
        <v>211</v>
      </c>
      <c r="C86" t="s">
        <v>218</v>
      </c>
      <c r="D86" t="s">
        <v>215</v>
      </c>
      <c r="E86" t="s">
        <v>218</v>
      </c>
      <c r="F86">
        <v>101948</v>
      </c>
      <c r="G86" t="s">
        <v>228</v>
      </c>
      <c r="H86" t="s">
        <v>234</v>
      </c>
      <c r="I86" t="s">
        <v>235</v>
      </c>
      <c r="J86" t="s">
        <v>238</v>
      </c>
      <c r="K86" t="s">
        <v>241</v>
      </c>
      <c r="L86" t="s">
        <v>352</v>
      </c>
      <c r="M86" t="str">
        <f>VLOOKUP(L86,new!L:L,1,0)</f>
        <v>F000085443045442005101948Limonpierre_IanManaging Director100,000</v>
      </c>
    </row>
    <row r="87" spans="1:13" x14ac:dyDescent="0.2">
      <c r="A87" t="s">
        <v>96</v>
      </c>
      <c r="B87" t="s">
        <v>212</v>
      </c>
      <c r="C87" t="s">
        <v>216</v>
      </c>
      <c r="D87" t="s">
        <v>214</v>
      </c>
      <c r="E87" t="s">
        <v>220</v>
      </c>
      <c r="F87">
        <v>101973</v>
      </c>
      <c r="G87" t="s">
        <v>224</v>
      </c>
      <c r="H87" t="s">
        <v>225</v>
      </c>
      <c r="I87" t="s">
        <v>235</v>
      </c>
      <c r="J87" t="s">
        <v>236</v>
      </c>
      <c r="K87" t="s">
        <v>240</v>
      </c>
      <c r="L87" t="s">
        <v>411</v>
      </c>
      <c r="M87" t="str">
        <f>VLOOKUP(L87,new!L:L,1,0)</f>
        <v>F000086445047442003101973Hart_ChristopherDirector500,000</v>
      </c>
    </row>
    <row r="88" spans="1:13" x14ac:dyDescent="0.2">
      <c r="A88" t="s">
        <v>97</v>
      </c>
      <c r="B88" t="s">
        <v>214</v>
      </c>
      <c r="C88" t="s">
        <v>216</v>
      </c>
      <c r="D88" t="s">
        <v>214</v>
      </c>
      <c r="E88" t="s">
        <v>218</v>
      </c>
      <c r="F88">
        <v>102643</v>
      </c>
      <c r="G88" t="s">
        <v>226</v>
      </c>
      <c r="H88" t="s">
        <v>227</v>
      </c>
      <c r="I88" t="s">
        <v>235</v>
      </c>
      <c r="J88" t="s">
        <v>239</v>
      </c>
      <c r="K88" t="s">
        <v>242</v>
      </c>
      <c r="L88" t="s">
        <v>375</v>
      </c>
      <c r="M88" t="str">
        <f>VLOOKUP(L88,new!L:L,1,0)</f>
        <v>F000087442003442003102643Parillis_Joseph_AnthonyPrincipal&gt;1,000,000</v>
      </c>
    </row>
    <row r="89" spans="1:13" x14ac:dyDescent="0.2">
      <c r="A89" t="s">
        <v>98</v>
      </c>
      <c r="B89" t="s">
        <v>215</v>
      </c>
      <c r="C89" t="s">
        <v>219</v>
      </c>
      <c r="D89" t="s">
        <v>215</v>
      </c>
      <c r="E89" t="s">
        <v>223</v>
      </c>
      <c r="F89">
        <v>102197</v>
      </c>
      <c r="G89" t="s">
        <v>225</v>
      </c>
      <c r="H89" t="s">
        <v>227</v>
      </c>
      <c r="I89" t="s">
        <v>235</v>
      </c>
      <c r="J89" t="s">
        <v>238</v>
      </c>
      <c r="K89" t="s">
        <v>242</v>
      </c>
      <c r="L89" t="s">
        <v>548</v>
      </c>
      <c r="M89" t="e">
        <f>VLOOKUP(L89,new!L:L,1,0)</f>
        <v>#N/A</v>
      </c>
    </row>
    <row r="90" spans="1:13" x14ac:dyDescent="0.2">
      <c r="A90" t="s">
        <v>99</v>
      </c>
      <c r="B90" t="s">
        <v>212</v>
      </c>
      <c r="C90" t="s">
        <v>217</v>
      </c>
      <c r="D90" t="s">
        <v>215</v>
      </c>
      <c r="E90" t="s">
        <v>218</v>
      </c>
      <c r="F90">
        <v>101990</v>
      </c>
      <c r="G90" t="s">
        <v>224</v>
      </c>
      <c r="H90" t="s">
        <v>227</v>
      </c>
      <c r="I90" t="s">
        <v>235</v>
      </c>
      <c r="J90" t="s">
        <v>239</v>
      </c>
      <c r="K90" t="s">
        <v>240</v>
      </c>
      <c r="L90" t="s">
        <v>549</v>
      </c>
      <c r="M90" t="e">
        <f>VLOOKUP(L90,new!L:L,1,0)</f>
        <v>#N/A</v>
      </c>
    </row>
    <row r="91" spans="1:13" x14ac:dyDescent="0.2">
      <c r="A91" t="s">
        <v>100</v>
      </c>
      <c r="B91" t="s">
        <v>212</v>
      </c>
      <c r="C91" t="s">
        <v>219</v>
      </c>
      <c r="D91" t="s">
        <v>211</v>
      </c>
      <c r="E91" t="s">
        <v>221</v>
      </c>
      <c r="F91">
        <v>102893</v>
      </c>
      <c r="G91" t="s">
        <v>229</v>
      </c>
      <c r="H91" t="s">
        <v>226</v>
      </c>
      <c r="I91" t="s">
        <v>235</v>
      </c>
      <c r="J91" t="s">
        <v>238</v>
      </c>
      <c r="K91" t="s">
        <v>240</v>
      </c>
      <c r="L91" t="s">
        <v>550</v>
      </c>
      <c r="M91" t="e">
        <f>VLOOKUP(L91,new!L:L,1,0)</f>
        <v>#N/A</v>
      </c>
    </row>
    <row r="92" spans="1:13" x14ac:dyDescent="0.2">
      <c r="A92" t="s">
        <v>101</v>
      </c>
      <c r="B92" t="s">
        <v>212</v>
      </c>
      <c r="C92" t="s">
        <v>219</v>
      </c>
      <c r="D92" t="s">
        <v>213</v>
      </c>
      <c r="E92" t="s">
        <v>222</v>
      </c>
      <c r="F92">
        <v>102467</v>
      </c>
      <c r="G92" t="s">
        <v>230</v>
      </c>
      <c r="H92" t="s">
        <v>230</v>
      </c>
      <c r="I92" t="s">
        <v>235</v>
      </c>
      <c r="J92" t="s">
        <v>238</v>
      </c>
      <c r="K92" t="s">
        <v>240</v>
      </c>
      <c r="L92" t="s">
        <v>394</v>
      </c>
      <c r="M92" t="str">
        <f>VLOOKUP(L92,new!L:L,1,0)</f>
        <v>F000091445047442100102467Shinde_AshutoshManaging Director500,000</v>
      </c>
    </row>
    <row r="93" spans="1:13" x14ac:dyDescent="0.2">
      <c r="A93" t="s">
        <v>102</v>
      </c>
      <c r="B93" t="s">
        <v>212</v>
      </c>
      <c r="C93" t="s">
        <v>219</v>
      </c>
      <c r="D93" t="s">
        <v>213</v>
      </c>
      <c r="E93" t="s">
        <v>223</v>
      </c>
      <c r="F93">
        <v>103329</v>
      </c>
      <c r="G93" t="s">
        <v>234</v>
      </c>
      <c r="H93" t="s">
        <v>230</v>
      </c>
      <c r="I93" t="s">
        <v>235</v>
      </c>
      <c r="J93" t="s">
        <v>239</v>
      </c>
      <c r="K93" t="s">
        <v>241</v>
      </c>
      <c r="L93" t="s">
        <v>551</v>
      </c>
      <c r="M93" t="e">
        <f>VLOOKUP(L93,new!L:L,1,0)</f>
        <v>#N/A</v>
      </c>
    </row>
    <row r="94" spans="1:13" x14ac:dyDescent="0.2">
      <c r="A94" t="s">
        <v>103</v>
      </c>
      <c r="B94" t="s">
        <v>215</v>
      </c>
      <c r="C94" t="s">
        <v>219</v>
      </c>
      <c r="D94" t="s">
        <v>212</v>
      </c>
      <c r="E94" t="s">
        <v>220</v>
      </c>
      <c r="F94">
        <v>103509</v>
      </c>
      <c r="G94" t="s">
        <v>225</v>
      </c>
      <c r="H94" t="s">
        <v>227</v>
      </c>
      <c r="I94" t="s">
        <v>235</v>
      </c>
      <c r="J94" t="s">
        <v>236</v>
      </c>
      <c r="K94" t="s">
        <v>240</v>
      </c>
      <c r="L94" t="s">
        <v>552</v>
      </c>
      <c r="M94" t="e">
        <f>VLOOKUP(L94,new!L:L,1,0)</f>
        <v>#N/A</v>
      </c>
    </row>
    <row r="95" spans="1:13" x14ac:dyDescent="0.2">
      <c r="A95" t="s">
        <v>104</v>
      </c>
      <c r="B95" t="s">
        <v>215</v>
      </c>
      <c r="C95" t="s">
        <v>218</v>
      </c>
      <c r="D95" t="s">
        <v>214</v>
      </c>
      <c r="E95" t="s">
        <v>222</v>
      </c>
      <c r="F95">
        <v>102960</v>
      </c>
      <c r="G95" t="s">
        <v>231</v>
      </c>
      <c r="H95" t="s">
        <v>229</v>
      </c>
      <c r="I95" t="s">
        <v>235</v>
      </c>
      <c r="J95" t="s">
        <v>238</v>
      </c>
      <c r="K95" t="s">
        <v>240</v>
      </c>
      <c r="L95" t="s">
        <v>349</v>
      </c>
      <c r="M95" t="str">
        <f>VLOOKUP(L95,new!L:L,1,0)</f>
        <v>F000094442005442003102960Gaffney_Jocelyn_KManaging Director500,000</v>
      </c>
    </row>
    <row r="96" spans="1:13" x14ac:dyDescent="0.2">
      <c r="A96" t="s">
        <v>105</v>
      </c>
      <c r="B96" t="s">
        <v>214</v>
      </c>
      <c r="C96" t="s">
        <v>218</v>
      </c>
      <c r="D96" t="s">
        <v>212</v>
      </c>
      <c r="E96" t="s">
        <v>221</v>
      </c>
      <c r="F96">
        <v>101373</v>
      </c>
      <c r="G96" t="s">
        <v>224</v>
      </c>
      <c r="H96" t="s">
        <v>232</v>
      </c>
      <c r="I96" t="s">
        <v>235</v>
      </c>
      <c r="J96" t="s">
        <v>238</v>
      </c>
      <c r="K96" t="s">
        <v>243</v>
      </c>
      <c r="L96" t="s">
        <v>553</v>
      </c>
      <c r="M96" t="e">
        <f>VLOOKUP(L96,new!L:L,1,0)</f>
        <v>#N/A</v>
      </c>
    </row>
    <row r="97" spans="1:13" x14ac:dyDescent="0.2">
      <c r="A97" t="s">
        <v>106</v>
      </c>
      <c r="B97" t="s">
        <v>214</v>
      </c>
      <c r="C97" t="s">
        <v>218</v>
      </c>
      <c r="D97" t="s">
        <v>211</v>
      </c>
      <c r="E97" t="s">
        <v>222</v>
      </c>
      <c r="F97">
        <v>102065</v>
      </c>
      <c r="G97" t="s">
        <v>229</v>
      </c>
      <c r="H97" t="s">
        <v>231</v>
      </c>
      <c r="I97" t="s">
        <v>235</v>
      </c>
      <c r="J97" t="s">
        <v>237</v>
      </c>
      <c r="K97" t="s">
        <v>242</v>
      </c>
      <c r="L97" t="s">
        <v>326</v>
      </c>
      <c r="M97" t="str">
        <f>VLOOKUP(L97,new!L:L,1,0)</f>
        <v>F000096442003443045102065Thakkar_AshishAssociate Director&gt;1,000,000</v>
      </c>
    </row>
    <row r="98" spans="1:13" x14ac:dyDescent="0.2">
      <c r="A98" t="s">
        <v>107</v>
      </c>
      <c r="B98" t="s">
        <v>215</v>
      </c>
      <c r="C98" t="s">
        <v>216</v>
      </c>
      <c r="D98" t="s">
        <v>212</v>
      </c>
      <c r="E98" t="s">
        <v>218</v>
      </c>
      <c r="F98">
        <v>102954</v>
      </c>
      <c r="G98" t="s">
        <v>229</v>
      </c>
      <c r="H98" t="s">
        <v>234</v>
      </c>
      <c r="I98" t="s">
        <v>235</v>
      </c>
      <c r="J98" t="s">
        <v>239</v>
      </c>
      <c r="K98" t="s">
        <v>240</v>
      </c>
      <c r="L98" t="s">
        <v>385</v>
      </c>
      <c r="M98" t="str">
        <f>VLOOKUP(L98,new!L:L,1,0)</f>
        <v>F000097442005445047102954Limonpierre_IanPrincipal500,000</v>
      </c>
    </row>
    <row r="99" spans="1:13" x14ac:dyDescent="0.2">
      <c r="A99" t="s">
        <v>108</v>
      </c>
      <c r="B99" t="s">
        <v>211</v>
      </c>
      <c r="C99" t="s">
        <v>216</v>
      </c>
      <c r="D99" t="s">
        <v>214</v>
      </c>
      <c r="E99" t="s">
        <v>222</v>
      </c>
      <c r="F99">
        <v>102764</v>
      </c>
      <c r="G99" t="s">
        <v>228</v>
      </c>
      <c r="H99" t="s">
        <v>230</v>
      </c>
      <c r="I99" t="s">
        <v>235</v>
      </c>
      <c r="J99" t="s">
        <v>236</v>
      </c>
      <c r="K99" t="s">
        <v>240</v>
      </c>
      <c r="L99" t="s">
        <v>387</v>
      </c>
      <c r="M99" t="str">
        <f>VLOOKUP(L99,new!L:L,1,0)</f>
        <v>F000098443045442003102764Shinde_AshutoshDirector500,000</v>
      </c>
    </row>
    <row r="100" spans="1:13" x14ac:dyDescent="0.2">
      <c r="A100" t="s">
        <v>109</v>
      </c>
      <c r="B100" t="s">
        <v>213</v>
      </c>
      <c r="C100" t="s">
        <v>216</v>
      </c>
      <c r="D100" t="s">
        <v>215</v>
      </c>
      <c r="E100" t="s">
        <v>223</v>
      </c>
      <c r="F100">
        <v>102759</v>
      </c>
      <c r="G100" t="s">
        <v>232</v>
      </c>
      <c r="H100" t="s">
        <v>228</v>
      </c>
      <c r="I100" t="s">
        <v>235</v>
      </c>
      <c r="J100" t="s">
        <v>239</v>
      </c>
      <c r="K100" t="s">
        <v>240</v>
      </c>
      <c r="L100" t="s">
        <v>383</v>
      </c>
      <c r="M100" t="str">
        <f>VLOOKUP(L100,new!L:L,1,0)</f>
        <v>F000099442100442005102759Masud_ShahidPrincipal500,000</v>
      </c>
    </row>
    <row r="101" spans="1:13" x14ac:dyDescent="0.2">
      <c r="A101" t="s">
        <v>110</v>
      </c>
      <c r="B101" t="s">
        <v>211</v>
      </c>
      <c r="C101" t="s">
        <v>218</v>
      </c>
      <c r="D101" t="s">
        <v>211</v>
      </c>
      <c r="E101" t="s">
        <v>223</v>
      </c>
      <c r="F101">
        <v>101661</v>
      </c>
      <c r="G101" t="s">
        <v>232</v>
      </c>
      <c r="H101" t="s">
        <v>234</v>
      </c>
      <c r="I101" t="s">
        <v>235</v>
      </c>
      <c r="J101" t="s">
        <v>238</v>
      </c>
      <c r="K101" t="s">
        <v>242</v>
      </c>
      <c r="L101" t="s">
        <v>554</v>
      </c>
      <c r="M101" t="e">
        <f>VLOOKUP(L101,new!L:L,1,0)</f>
        <v>#N/A</v>
      </c>
    </row>
    <row r="102" spans="1:13" x14ac:dyDescent="0.2">
      <c r="A102" t="s">
        <v>111</v>
      </c>
      <c r="B102" t="s">
        <v>215</v>
      </c>
      <c r="C102" t="s">
        <v>217</v>
      </c>
      <c r="D102" t="s">
        <v>213</v>
      </c>
      <c r="E102" t="s">
        <v>222</v>
      </c>
      <c r="F102">
        <v>103163</v>
      </c>
      <c r="G102" t="s">
        <v>231</v>
      </c>
      <c r="H102" t="s">
        <v>226</v>
      </c>
      <c r="I102" t="s">
        <v>235</v>
      </c>
      <c r="J102" t="s">
        <v>238</v>
      </c>
      <c r="K102" t="s">
        <v>242</v>
      </c>
      <c r="L102" t="s">
        <v>404</v>
      </c>
      <c r="M102" t="str">
        <f>VLOOKUP(L102,new!L:L,1,0)</f>
        <v>F000101442005442100103163Verderaime_JosephManaging Director&gt;1,000,000</v>
      </c>
    </row>
    <row r="103" spans="1:13" x14ac:dyDescent="0.2">
      <c r="A103" t="s">
        <v>112</v>
      </c>
      <c r="B103" t="s">
        <v>213</v>
      </c>
      <c r="C103" t="s">
        <v>218</v>
      </c>
      <c r="D103" t="s">
        <v>212</v>
      </c>
      <c r="E103" t="s">
        <v>220</v>
      </c>
      <c r="F103">
        <v>103835</v>
      </c>
      <c r="G103" t="s">
        <v>225</v>
      </c>
      <c r="H103" t="s">
        <v>230</v>
      </c>
      <c r="I103" t="s">
        <v>235</v>
      </c>
      <c r="J103" t="s">
        <v>238</v>
      </c>
      <c r="K103" t="s">
        <v>243</v>
      </c>
      <c r="L103" t="s">
        <v>418</v>
      </c>
      <c r="M103" t="str">
        <f>VLOOKUP(L103,new!L:L,1,0)</f>
        <v>F000102442100445047103835Shinde_AshutoshManaging Director250,000</v>
      </c>
    </row>
    <row r="104" spans="1:13" x14ac:dyDescent="0.2">
      <c r="A104" t="s">
        <v>113</v>
      </c>
      <c r="B104" t="s">
        <v>214</v>
      </c>
      <c r="C104" t="s">
        <v>218</v>
      </c>
      <c r="D104" t="s">
        <v>212</v>
      </c>
      <c r="E104" t="s">
        <v>218</v>
      </c>
      <c r="F104">
        <v>102804</v>
      </c>
      <c r="G104" t="s">
        <v>230</v>
      </c>
      <c r="H104" t="s">
        <v>233</v>
      </c>
      <c r="I104" t="s">
        <v>235</v>
      </c>
      <c r="J104" t="s">
        <v>237</v>
      </c>
      <c r="K104" t="s">
        <v>240</v>
      </c>
      <c r="L104" t="s">
        <v>555</v>
      </c>
      <c r="M104" t="e">
        <f>VLOOKUP(L104,new!L:L,1,0)</f>
        <v>#N/A</v>
      </c>
    </row>
    <row r="105" spans="1:13" x14ac:dyDescent="0.2">
      <c r="A105" t="s">
        <v>114</v>
      </c>
      <c r="B105" t="s">
        <v>214</v>
      </c>
      <c r="C105" t="s">
        <v>217</v>
      </c>
      <c r="D105" t="s">
        <v>215</v>
      </c>
      <c r="E105" t="s">
        <v>222</v>
      </c>
      <c r="F105">
        <v>103086</v>
      </c>
      <c r="G105" t="s">
        <v>232</v>
      </c>
      <c r="H105" t="s">
        <v>233</v>
      </c>
      <c r="I105" t="s">
        <v>235</v>
      </c>
      <c r="J105" t="s">
        <v>237</v>
      </c>
      <c r="K105" t="s">
        <v>242</v>
      </c>
      <c r="L105" t="s">
        <v>556</v>
      </c>
      <c r="M105" t="e">
        <f>VLOOKUP(L105,new!L:L,1,0)</f>
        <v>#N/A</v>
      </c>
    </row>
    <row r="106" spans="1:13" x14ac:dyDescent="0.2">
      <c r="A106" t="s">
        <v>115</v>
      </c>
      <c r="B106" t="s">
        <v>211</v>
      </c>
      <c r="C106" t="s">
        <v>219</v>
      </c>
      <c r="D106" t="s">
        <v>211</v>
      </c>
      <c r="E106" t="s">
        <v>223</v>
      </c>
      <c r="F106">
        <v>101854</v>
      </c>
      <c r="G106" t="s">
        <v>234</v>
      </c>
      <c r="H106" t="s">
        <v>228</v>
      </c>
      <c r="I106" t="s">
        <v>235</v>
      </c>
      <c r="J106" t="s">
        <v>237</v>
      </c>
      <c r="K106" t="s">
        <v>242</v>
      </c>
      <c r="L106" t="s">
        <v>361</v>
      </c>
      <c r="M106" t="str">
        <f>VLOOKUP(L106,new!L:L,1,0)</f>
        <v>F000105443045443045101854Masud_ShahidAssociate Director&gt;1,000,000</v>
      </c>
    </row>
    <row r="107" spans="1:13" x14ac:dyDescent="0.2">
      <c r="A107" t="s">
        <v>116</v>
      </c>
      <c r="B107" t="s">
        <v>212</v>
      </c>
      <c r="C107" t="s">
        <v>217</v>
      </c>
      <c r="D107" t="s">
        <v>212</v>
      </c>
      <c r="E107" t="s">
        <v>218</v>
      </c>
      <c r="F107">
        <v>102052</v>
      </c>
      <c r="G107" t="s">
        <v>231</v>
      </c>
      <c r="H107" t="s">
        <v>229</v>
      </c>
      <c r="I107" t="s">
        <v>235</v>
      </c>
      <c r="J107" t="s">
        <v>236</v>
      </c>
      <c r="K107" t="s">
        <v>240</v>
      </c>
      <c r="L107" t="s">
        <v>557</v>
      </c>
      <c r="M107" t="e">
        <f>VLOOKUP(L107,new!L:L,1,0)</f>
        <v>#N/A</v>
      </c>
    </row>
    <row r="108" spans="1:13" x14ac:dyDescent="0.2">
      <c r="A108" t="s">
        <v>117</v>
      </c>
      <c r="B108" t="s">
        <v>214</v>
      </c>
      <c r="C108" t="s">
        <v>217</v>
      </c>
      <c r="D108" t="s">
        <v>214</v>
      </c>
      <c r="E108" t="s">
        <v>220</v>
      </c>
      <c r="F108">
        <v>102109</v>
      </c>
      <c r="G108" t="s">
        <v>231</v>
      </c>
      <c r="H108" t="s">
        <v>231</v>
      </c>
      <c r="I108" t="s">
        <v>235</v>
      </c>
      <c r="J108" t="s">
        <v>238</v>
      </c>
      <c r="K108" t="s">
        <v>243</v>
      </c>
      <c r="L108" t="s">
        <v>558</v>
      </c>
      <c r="M108" t="e">
        <f>VLOOKUP(L108,new!L:L,1,0)</f>
        <v>#N/A</v>
      </c>
    </row>
    <row r="109" spans="1:13" x14ac:dyDescent="0.2">
      <c r="A109" t="s">
        <v>118</v>
      </c>
      <c r="B109" t="s">
        <v>211</v>
      </c>
      <c r="C109" t="s">
        <v>217</v>
      </c>
      <c r="D109" t="s">
        <v>214</v>
      </c>
      <c r="E109" t="s">
        <v>223</v>
      </c>
      <c r="F109">
        <v>101425</v>
      </c>
      <c r="G109" t="s">
        <v>229</v>
      </c>
      <c r="H109" t="s">
        <v>230</v>
      </c>
      <c r="I109" t="s">
        <v>235</v>
      </c>
      <c r="J109" t="s">
        <v>236</v>
      </c>
      <c r="K109" t="s">
        <v>242</v>
      </c>
      <c r="L109" t="s">
        <v>559</v>
      </c>
      <c r="M109" t="e">
        <f>VLOOKUP(L109,new!L:L,1,0)</f>
        <v>#N/A</v>
      </c>
    </row>
    <row r="110" spans="1:13" x14ac:dyDescent="0.2">
      <c r="A110" t="s">
        <v>119</v>
      </c>
      <c r="B110" t="s">
        <v>211</v>
      </c>
      <c r="C110" t="s">
        <v>219</v>
      </c>
      <c r="D110" t="s">
        <v>212</v>
      </c>
      <c r="E110" t="s">
        <v>218</v>
      </c>
      <c r="F110">
        <v>102235</v>
      </c>
      <c r="G110" t="s">
        <v>234</v>
      </c>
      <c r="H110" t="s">
        <v>225</v>
      </c>
      <c r="I110" t="s">
        <v>235</v>
      </c>
      <c r="J110" t="s">
        <v>236</v>
      </c>
      <c r="K110" t="s">
        <v>241</v>
      </c>
      <c r="L110" t="s">
        <v>560</v>
      </c>
      <c r="M110" t="e">
        <f>VLOOKUP(L110,new!L:L,1,0)</f>
        <v>#N/A</v>
      </c>
    </row>
    <row r="111" spans="1:13" x14ac:dyDescent="0.2">
      <c r="A111" t="s">
        <v>120</v>
      </c>
      <c r="B111" t="s">
        <v>214</v>
      </c>
      <c r="C111" t="s">
        <v>218</v>
      </c>
      <c r="D111" t="s">
        <v>214</v>
      </c>
      <c r="E111" t="s">
        <v>218</v>
      </c>
      <c r="F111">
        <v>101840</v>
      </c>
      <c r="G111" t="s">
        <v>229</v>
      </c>
      <c r="H111" t="s">
        <v>231</v>
      </c>
      <c r="I111" t="s">
        <v>235</v>
      </c>
      <c r="J111" t="s">
        <v>238</v>
      </c>
      <c r="K111" t="s">
        <v>241</v>
      </c>
      <c r="L111" t="s">
        <v>561</v>
      </c>
      <c r="M111" t="e">
        <f>VLOOKUP(L111,new!L:L,1,0)</f>
        <v>#N/A</v>
      </c>
    </row>
    <row r="112" spans="1:13" x14ac:dyDescent="0.2">
      <c r="A112" t="s">
        <v>121</v>
      </c>
      <c r="B112" t="s">
        <v>215</v>
      </c>
      <c r="C112" t="s">
        <v>218</v>
      </c>
      <c r="D112" t="s">
        <v>214</v>
      </c>
      <c r="E112" t="s">
        <v>222</v>
      </c>
      <c r="F112">
        <v>102842</v>
      </c>
      <c r="G112" t="s">
        <v>234</v>
      </c>
      <c r="H112" t="s">
        <v>226</v>
      </c>
      <c r="I112" t="s">
        <v>235</v>
      </c>
      <c r="J112" t="s">
        <v>236</v>
      </c>
      <c r="K112" t="s">
        <v>243</v>
      </c>
      <c r="L112" t="s">
        <v>562</v>
      </c>
      <c r="M112" t="e">
        <f>VLOOKUP(L112,new!L:L,1,0)</f>
        <v>#N/A</v>
      </c>
    </row>
    <row r="113" spans="1:13" x14ac:dyDescent="0.2">
      <c r="A113" t="s">
        <v>122</v>
      </c>
      <c r="B113" t="s">
        <v>214</v>
      </c>
      <c r="C113" t="s">
        <v>216</v>
      </c>
      <c r="D113" t="s">
        <v>211</v>
      </c>
      <c r="E113" t="s">
        <v>223</v>
      </c>
      <c r="F113">
        <v>103369</v>
      </c>
      <c r="G113" t="s">
        <v>225</v>
      </c>
      <c r="H113" t="s">
        <v>233</v>
      </c>
      <c r="I113" t="s">
        <v>235</v>
      </c>
      <c r="J113" t="s">
        <v>237</v>
      </c>
      <c r="K113" t="s">
        <v>240</v>
      </c>
      <c r="L113" t="s">
        <v>405</v>
      </c>
      <c r="M113" t="str">
        <f>VLOOKUP(L113,new!L:L,1,0)</f>
        <v>F000112442003443045103369Dallasykar_AjayAssociate Director500,000</v>
      </c>
    </row>
    <row r="114" spans="1:13" x14ac:dyDescent="0.2">
      <c r="A114" t="s">
        <v>123</v>
      </c>
      <c r="B114" t="s">
        <v>213</v>
      </c>
      <c r="C114" t="s">
        <v>217</v>
      </c>
      <c r="D114" t="s">
        <v>212</v>
      </c>
      <c r="E114" t="s">
        <v>218</v>
      </c>
      <c r="F114">
        <v>103144</v>
      </c>
      <c r="G114" t="s">
        <v>232</v>
      </c>
      <c r="H114" t="s">
        <v>228</v>
      </c>
      <c r="I114" t="s">
        <v>235</v>
      </c>
      <c r="J114" t="s">
        <v>237</v>
      </c>
      <c r="K114" t="s">
        <v>240</v>
      </c>
      <c r="L114" t="s">
        <v>563</v>
      </c>
      <c r="M114" t="e">
        <f>VLOOKUP(L114,new!L:L,1,0)</f>
        <v>#N/A</v>
      </c>
    </row>
    <row r="115" spans="1:13" x14ac:dyDescent="0.2">
      <c r="A115" t="s">
        <v>124</v>
      </c>
      <c r="B115" t="s">
        <v>211</v>
      </c>
      <c r="C115" t="s">
        <v>219</v>
      </c>
      <c r="D115" t="s">
        <v>214</v>
      </c>
      <c r="E115" t="s">
        <v>222</v>
      </c>
      <c r="F115">
        <v>102457</v>
      </c>
      <c r="G115" t="s">
        <v>229</v>
      </c>
      <c r="H115" t="s">
        <v>234</v>
      </c>
      <c r="I115" t="s">
        <v>235</v>
      </c>
      <c r="J115" t="s">
        <v>238</v>
      </c>
      <c r="K115" t="s">
        <v>242</v>
      </c>
      <c r="L115" t="s">
        <v>401</v>
      </c>
      <c r="M115" t="str">
        <f>VLOOKUP(L115,new!L:L,1,0)</f>
        <v>F000114443045442003102457Limonpierre_IanManaging Director&gt;1,000,000</v>
      </c>
    </row>
    <row r="116" spans="1:13" x14ac:dyDescent="0.2">
      <c r="A116" t="s">
        <v>125</v>
      </c>
      <c r="B116" t="s">
        <v>211</v>
      </c>
      <c r="C116" t="s">
        <v>219</v>
      </c>
      <c r="D116" t="s">
        <v>213</v>
      </c>
      <c r="E116" t="s">
        <v>218</v>
      </c>
      <c r="F116">
        <v>101159</v>
      </c>
      <c r="G116" t="s">
        <v>230</v>
      </c>
      <c r="H116" t="s">
        <v>232</v>
      </c>
      <c r="I116" t="s">
        <v>235</v>
      </c>
      <c r="J116" t="s">
        <v>239</v>
      </c>
      <c r="K116" t="s">
        <v>241</v>
      </c>
      <c r="L116" t="s">
        <v>376</v>
      </c>
      <c r="M116" t="str">
        <f>VLOOKUP(L116,new!L:L,1,0)</f>
        <v>F000115443045442100101159Pinto_Miguel_AnthonyPrincipal100,000</v>
      </c>
    </row>
    <row r="117" spans="1:13" x14ac:dyDescent="0.2">
      <c r="A117" t="s">
        <v>126</v>
      </c>
      <c r="B117" t="s">
        <v>213</v>
      </c>
      <c r="C117" t="s">
        <v>217</v>
      </c>
      <c r="D117" t="s">
        <v>211</v>
      </c>
      <c r="E117" t="s">
        <v>218</v>
      </c>
      <c r="F117">
        <v>101872</v>
      </c>
      <c r="G117" t="s">
        <v>229</v>
      </c>
      <c r="H117" t="s">
        <v>229</v>
      </c>
      <c r="I117" t="s">
        <v>235</v>
      </c>
      <c r="J117" t="s">
        <v>239</v>
      </c>
      <c r="K117" t="s">
        <v>243</v>
      </c>
      <c r="L117" t="s">
        <v>331</v>
      </c>
      <c r="M117" t="str">
        <f>VLOOKUP(L117,new!L:L,1,0)</f>
        <v>F000116442100443045101872Gaffney_Jocelyn_KPrincipal250,000</v>
      </c>
    </row>
    <row r="118" spans="1:13" x14ac:dyDescent="0.2">
      <c r="A118" t="s">
        <v>127</v>
      </c>
      <c r="B118" t="s">
        <v>214</v>
      </c>
      <c r="C118" t="s">
        <v>218</v>
      </c>
      <c r="D118" t="s">
        <v>211</v>
      </c>
      <c r="E118" t="s">
        <v>223</v>
      </c>
      <c r="F118">
        <v>103242</v>
      </c>
      <c r="G118" t="s">
        <v>230</v>
      </c>
      <c r="H118" t="s">
        <v>232</v>
      </c>
      <c r="I118" t="s">
        <v>235</v>
      </c>
      <c r="J118" t="s">
        <v>236</v>
      </c>
      <c r="K118" t="s">
        <v>240</v>
      </c>
      <c r="L118" t="s">
        <v>564</v>
      </c>
      <c r="M118" t="e">
        <f>VLOOKUP(L118,new!L:L,1,0)</f>
        <v>#N/A</v>
      </c>
    </row>
    <row r="119" spans="1:13" x14ac:dyDescent="0.2">
      <c r="A119" t="s">
        <v>128</v>
      </c>
      <c r="B119" t="s">
        <v>213</v>
      </c>
      <c r="C119" t="s">
        <v>218</v>
      </c>
      <c r="D119" t="s">
        <v>211</v>
      </c>
      <c r="E119" t="s">
        <v>218</v>
      </c>
      <c r="F119">
        <v>102670</v>
      </c>
      <c r="G119" t="s">
        <v>229</v>
      </c>
      <c r="H119" t="s">
        <v>231</v>
      </c>
      <c r="I119" t="s">
        <v>235</v>
      </c>
      <c r="J119" t="s">
        <v>239</v>
      </c>
      <c r="K119" t="s">
        <v>243</v>
      </c>
      <c r="L119" t="s">
        <v>380</v>
      </c>
      <c r="M119" t="str">
        <f>VLOOKUP(L119,new!L:L,1,0)</f>
        <v>F000118442100443045102670Thakkar_AshishPrincipal250,000</v>
      </c>
    </row>
    <row r="120" spans="1:13" x14ac:dyDescent="0.2">
      <c r="A120" t="s">
        <v>129</v>
      </c>
      <c r="B120" t="s">
        <v>211</v>
      </c>
      <c r="C120" t="s">
        <v>218</v>
      </c>
      <c r="D120" t="s">
        <v>214</v>
      </c>
      <c r="E120" t="s">
        <v>222</v>
      </c>
      <c r="F120">
        <v>103740</v>
      </c>
      <c r="G120" t="s">
        <v>234</v>
      </c>
      <c r="H120" t="s">
        <v>234</v>
      </c>
      <c r="I120" t="s">
        <v>235</v>
      </c>
      <c r="J120" t="s">
        <v>239</v>
      </c>
      <c r="K120" t="s">
        <v>241</v>
      </c>
      <c r="L120" t="s">
        <v>400</v>
      </c>
      <c r="M120" t="str">
        <f>VLOOKUP(L120,new!L:L,1,0)</f>
        <v>F000119443045442003103740Limonpierre_IanPrincipal100,000</v>
      </c>
    </row>
    <row r="121" spans="1:13" x14ac:dyDescent="0.2">
      <c r="A121" t="s">
        <v>130</v>
      </c>
      <c r="B121" t="s">
        <v>212</v>
      </c>
      <c r="C121" t="s">
        <v>219</v>
      </c>
      <c r="D121" t="s">
        <v>214</v>
      </c>
      <c r="E121" t="s">
        <v>223</v>
      </c>
      <c r="F121">
        <v>102080</v>
      </c>
      <c r="G121" t="s">
        <v>228</v>
      </c>
      <c r="H121" t="s">
        <v>227</v>
      </c>
      <c r="I121" t="s">
        <v>235</v>
      </c>
      <c r="J121" t="s">
        <v>239</v>
      </c>
      <c r="K121" t="s">
        <v>240</v>
      </c>
      <c r="L121" t="s">
        <v>391</v>
      </c>
      <c r="M121" t="str">
        <f>VLOOKUP(L121,new!L:L,1,0)</f>
        <v>F000120445047442003102080Parillis_Joseph_AnthonyPrincipal500,000</v>
      </c>
    </row>
    <row r="122" spans="1:13" x14ac:dyDescent="0.2">
      <c r="A122" t="s">
        <v>131</v>
      </c>
      <c r="B122" t="s">
        <v>212</v>
      </c>
      <c r="C122" t="s">
        <v>217</v>
      </c>
      <c r="D122" t="s">
        <v>211</v>
      </c>
      <c r="E122" t="s">
        <v>218</v>
      </c>
      <c r="F122">
        <v>103693</v>
      </c>
      <c r="G122" t="s">
        <v>226</v>
      </c>
      <c r="H122" t="s">
        <v>232</v>
      </c>
      <c r="I122" t="s">
        <v>235</v>
      </c>
      <c r="J122" t="s">
        <v>238</v>
      </c>
      <c r="K122" t="s">
        <v>243</v>
      </c>
      <c r="L122" t="s">
        <v>425</v>
      </c>
      <c r="M122" t="str">
        <f>VLOOKUP(L122,new!L:L,1,0)</f>
        <v>F000121445047443045103693Pinto_Miguel_AnthonyManaging Director250,000</v>
      </c>
    </row>
    <row r="123" spans="1:13" x14ac:dyDescent="0.2">
      <c r="A123" t="s">
        <v>132</v>
      </c>
      <c r="B123" t="s">
        <v>212</v>
      </c>
      <c r="C123" t="s">
        <v>217</v>
      </c>
      <c r="D123" t="s">
        <v>211</v>
      </c>
      <c r="E123" t="s">
        <v>218</v>
      </c>
      <c r="F123">
        <v>101285</v>
      </c>
      <c r="G123" t="s">
        <v>224</v>
      </c>
      <c r="H123" t="s">
        <v>231</v>
      </c>
      <c r="I123" t="s">
        <v>235</v>
      </c>
      <c r="J123" t="s">
        <v>239</v>
      </c>
      <c r="K123" t="s">
        <v>240</v>
      </c>
      <c r="L123" t="s">
        <v>565</v>
      </c>
      <c r="M123" t="e">
        <f>VLOOKUP(L123,new!L:L,1,0)</f>
        <v>#N/A</v>
      </c>
    </row>
    <row r="124" spans="1:13" x14ac:dyDescent="0.2">
      <c r="A124" t="s">
        <v>133</v>
      </c>
      <c r="B124" t="s">
        <v>215</v>
      </c>
      <c r="C124" t="s">
        <v>219</v>
      </c>
      <c r="D124" t="s">
        <v>211</v>
      </c>
      <c r="E124" t="s">
        <v>220</v>
      </c>
      <c r="F124">
        <v>101925</v>
      </c>
      <c r="G124" t="s">
        <v>225</v>
      </c>
      <c r="H124" t="s">
        <v>234</v>
      </c>
      <c r="I124" t="s">
        <v>235</v>
      </c>
      <c r="J124" t="s">
        <v>239</v>
      </c>
      <c r="K124" t="s">
        <v>240</v>
      </c>
      <c r="L124" t="s">
        <v>370</v>
      </c>
      <c r="M124" t="str">
        <f>VLOOKUP(L124,new!L:L,1,0)</f>
        <v>F000123442005443045101925Limonpierre_IanPrincipal500,000</v>
      </c>
    </row>
    <row r="125" spans="1:13" x14ac:dyDescent="0.2">
      <c r="A125" t="s">
        <v>134</v>
      </c>
      <c r="B125" t="s">
        <v>214</v>
      </c>
      <c r="C125" t="s">
        <v>219</v>
      </c>
      <c r="D125" t="s">
        <v>211</v>
      </c>
      <c r="E125" t="s">
        <v>223</v>
      </c>
      <c r="F125">
        <v>103210</v>
      </c>
      <c r="G125" t="s">
        <v>227</v>
      </c>
      <c r="H125" t="s">
        <v>230</v>
      </c>
      <c r="I125" t="s">
        <v>235</v>
      </c>
      <c r="J125" t="s">
        <v>237</v>
      </c>
      <c r="K125" t="s">
        <v>243</v>
      </c>
      <c r="L125" t="s">
        <v>566</v>
      </c>
      <c r="M125" t="e">
        <f>VLOOKUP(L125,new!L:L,1,0)</f>
        <v>#N/A</v>
      </c>
    </row>
    <row r="126" spans="1:13" x14ac:dyDescent="0.2">
      <c r="A126" t="s">
        <v>135</v>
      </c>
      <c r="B126" t="s">
        <v>211</v>
      </c>
      <c r="C126" t="s">
        <v>218</v>
      </c>
      <c r="D126" t="s">
        <v>212</v>
      </c>
      <c r="E126" t="s">
        <v>221</v>
      </c>
      <c r="F126">
        <v>102125</v>
      </c>
      <c r="G126" t="s">
        <v>227</v>
      </c>
      <c r="H126" t="s">
        <v>224</v>
      </c>
      <c r="I126" t="s">
        <v>235</v>
      </c>
      <c r="J126" t="s">
        <v>238</v>
      </c>
      <c r="K126" t="s">
        <v>241</v>
      </c>
      <c r="L126" t="s">
        <v>346</v>
      </c>
      <c r="M126" t="str">
        <f>VLOOKUP(L126,new!L:L,1,0)</f>
        <v>F000125443045445047102125Jonathan_CancrcoManaging Director100,000</v>
      </c>
    </row>
    <row r="127" spans="1:13" x14ac:dyDescent="0.2">
      <c r="A127" t="s">
        <v>136</v>
      </c>
      <c r="B127" t="s">
        <v>211</v>
      </c>
      <c r="C127" t="s">
        <v>216</v>
      </c>
      <c r="D127" t="s">
        <v>214</v>
      </c>
      <c r="E127" t="s">
        <v>222</v>
      </c>
      <c r="F127">
        <v>101064</v>
      </c>
      <c r="G127" t="s">
        <v>228</v>
      </c>
      <c r="H127" t="s">
        <v>224</v>
      </c>
      <c r="I127" t="s">
        <v>235</v>
      </c>
      <c r="J127" t="s">
        <v>237</v>
      </c>
      <c r="K127" t="s">
        <v>243</v>
      </c>
      <c r="L127" t="s">
        <v>354</v>
      </c>
      <c r="M127" t="str">
        <f>VLOOKUP(L127,new!L:L,1,0)</f>
        <v>F000126443045442003101064Jonathan_CancrcoAssociate Director250,000</v>
      </c>
    </row>
    <row r="128" spans="1:13" x14ac:dyDescent="0.2">
      <c r="A128" t="s">
        <v>137</v>
      </c>
      <c r="B128" t="s">
        <v>211</v>
      </c>
      <c r="C128" t="s">
        <v>216</v>
      </c>
      <c r="D128" t="s">
        <v>214</v>
      </c>
      <c r="E128" t="s">
        <v>221</v>
      </c>
      <c r="F128">
        <v>102213</v>
      </c>
      <c r="G128" t="s">
        <v>232</v>
      </c>
      <c r="H128" t="s">
        <v>231</v>
      </c>
      <c r="I128" t="s">
        <v>235</v>
      </c>
      <c r="J128" t="s">
        <v>237</v>
      </c>
      <c r="K128" t="s">
        <v>242</v>
      </c>
      <c r="L128" t="s">
        <v>379</v>
      </c>
      <c r="M128" t="str">
        <f>VLOOKUP(L128,new!L:L,1,0)</f>
        <v>F000127443045442003102213Thakkar_AshishAssociate Director&gt;1,000,000</v>
      </c>
    </row>
    <row r="129" spans="1:13" x14ac:dyDescent="0.2">
      <c r="A129" t="s">
        <v>138</v>
      </c>
      <c r="B129" t="s">
        <v>215</v>
      </c>
      <c r="C129" t="s">
        <v>217</v>
      </c>
      <c r="D129" t="s">
        <v>212</v>
      </c>
      <c r="E129" t="s">
        <v>221</v>
      </c>
      <c r="F129">
        <v>103636</v>
      </c>
      <c r="G129" t="s">
        <v>231</v>
      </c>
      <c r="H129" t="s">
        <v>228</v>
      </c>
      <c r="I129" t="s">
        <v>235</v>
      </c>
      <c r="J129" t="s">
        <v>237</v>
      </c>
      <c r="K129" t="s">
        <v>240</v>
      </c>
      <c r="L129" t="s">
        <v>397</v>
      </c>
      <c r="M129" t="str">
        <f>VLOOKUP(L129,new!L:L,1,0)</f>
        <v>F000128442005445047103636Masud_ShahidAssociate Director500,000</v>
      </c>
    </row>
    <row r="130" spans="1:13" x14ac:dyDescent="0.2">
      <c r="A130" t="s">
        <v>139</v>
      </c>
      <c r="B130" t="s">
        <v>215</v>
      </c>
      <c r="C130" t="s">
        <v>216</v>
      </c>
      <c r="D130" t="s">
        <v>212</v>
      </c>
      <c r="E130" t="s">
        <v>220</v>
      </c>
      <c r="F130">
        <v>102137</v>
      </c>
      <c r="G130" t="s">
        <v>234</v>
      </c>
      <c r="H130" t="s">
        <v>233</v>
      </c>
      <c r="I130" t="s">
        <v>235</v>
      </c>
      <c r="J130" t="s">
        <v>239</v>
      </c>
      <c r="K130" t="s">
        <v>242</v>
      </c>
      <c r="L130" t="s">
        <v>330</v>
      </c>
      <c r="M130" t="str">
        <f>VLOOKUP(L130,new!L:L,1,0)</f>
        <v>F000129442005445047102137Dallasykar_AjayPrincipal&gt;1,000,000</v>
      </c>
    </row>
    <row r="131" spans="1:13" x14ac:dyDescent="0.2">
      <c r="A131" t="s">
        <v>140</v>
      </c>
      <c r="B131" t="s">
        <v>212</v>
      </c>
      <c r="C131" t="s">
        <v>216</v>
      </c>
      <c r="D131" t="s">
        <v>215</v>
      </c>
      <c r="E131" t="s">
        <v>222</v>
      </c>
      <c r="F131">
        <v>103739</v>
      </c>
      <c r="G131" t="s">
        <v>225</v>
      </c>
      <c r="H131" t="s">
        <v>228</v>
      </c>
      <c r="I131" t="s">
        <v>235</v>
      </c>
      <c r="J131" t="s">
        <v>237</v>
      </c>
      <c r="K131" t="s">
        <v>241</v>
      </c>
      <c r="L131" t="s">
        <v>567</v>
      </c>
      <c r="M131" t="e">
        <f>VLOOKUP(L131,new!L:L,1,0)</f>
        <v>#N/A</v>
      </c>
    </row>
    <row r="132" spans="1:13" x14ac:dyDescent="0.2">
      <c r="A132" t="s">
        <v>141</v>
      </c>
      <c r="B132" t="s">
        <v>214</v>
      </c>
      <c r="C132" t="s">
        <v>219</v>
      </c>
      <c r="D132" t="s">
        <v>215</v>
      </c>
      <c r="E132" t="s">
        <v>222</v>
      </c>
      <c r="F132">
        <v>102150</v>
      </c>
      <c r="G132" t="s">
        <v>227</v>
      </c>
      <c r="H132" t="s">
        <v>233</v>
      </c>
      <c r="I132" t="s">
        <v>235</v>
      </c>
      <c r="J132" t="s">
        <v>238</v>
      </c>
      <c r="K132" t="s">
        <v>242</v>
      </c>
      <c r="L132" t="s">
        <v>568</v>
      </c>
      <c r="M132" t="e">
        <f>VLOOKUP(L132,new!L:L,1,0)</f>
        <v>#N/A</v>
      </c>
    </row>
    <row r="133" spans="1:13" x14ac:dyDescent="0.2">
      <c r="A133" t="s">
        <v>142</v>
      </c>
      <c r="B133" t="s">
        <v>211</v>
      </c>
      <c r="C133" t="s">
        <v>216</v>
      </c>
      <c r="D133" t="s">
        <v>215</v>
      </c>
      <c r="E133" t="s">
        <v>218</v>
      </c>
      <c r="F133">
        <v>102474</v>
      </c>
      <c r="G133" t="s">
        <v>226</v>
      </c>
      <c r="H133" t="s">
        <v>231</v>
      </c>
      <c r="I133" t="s">
        <v>235</v>
      </c>
      <c r="J133" t="s">
        <v>239</v>
      </c>
      <c r="K133" t="s">
        <v>241</v>
      </c>
      <c r="L133" t="s">
        <v>569</v>
      </c>
      <c r="M133" t="e">
        <f>VLOOKUP(L133,new!L:L,1,0)</f>
        <v>#N/A</v>
      </c>
    </row>
    <row r="134" spans="1:13" x14ac:dyDescent="0.2">
      <c r="A134" t="s">
        <v>143</v>
      </c>
      <c r="B134" t="s">
        <v>215</v>
      </c>
      <c r="C134" t="s">
        <v>217</v>
      </c>
      <c r="D134" t="s">
        <v>211</v>
      </c>
      <c r="E134" t="s">
        <v>222</v>
      </c>
      <c r="F134">
        <v>101986</v>
      </c>
      <c r="G134" t="s">
        <v>233</v>
      </c>
      <c r="H134" t="s">
        <v>231</v>
      </c>
      <c r="I134" t="s">
        <v>235</v>
      </c>
      <c r="J134" t="s">
        <v>236</v>
      </c>
      <c r="K134" t="s">
        <v>240</v>
      </c>
      <c r="L134" t="s">
        <v>355</v>
      </c>
      <c r="M134" t="str">
        <f>VLOOKUP(L134,new!L:L,1,0)</f>
        <v>F000133442005443045101986Thakkar_AshishDirector500,000</v>
      </c>
    </row>
    <row r="135" spans="1:13" x14ac:dyDescent="0.2">
      <c r="A135" t="s">
        <v>144</v>
      </c>
      <c r="B135" t="s">
        <v>215</v>
      </c>
      <c r="C135" t="s">
        <v>216</v>
      </c>
      <c r="D135" t="s">
        <v>215</v>
      </c>
      <c r="E135" t="s">
        <v>222</v>
      </c>
      <c r="F135">
        <v>103242</v>
      </c>
      <c r="G135" t="s">
        <v>234</v>
      </c>
      <c r="H135" t="s">
        <v>231</v>
      </c>
      <c r="I135" t="s">
        <v>235</v>
      </c>
      <c r="J135" t="s">
        <v>236</v>
      </c>
      <c r="K135" t="s">
        <v>243</v>
      </c>
      <c r="L135" t="s">
        <v>570</v>
      </c>
      <c r="M135" t="e">
        <f>VLOOKUP(L135,new!L:L,1,0)</f>
        <v>#N/A</v>
      </c>
    </row>
    <row r="136" spans="1:13" x14ac:dyDescent="0.2">
      <c r="A136" t="s">
        <v>145</v>
      </c>
      <c r="B136" t="s">
        <v>213</v>
      </c>
      <c r="C136" t="s">
        <v>217</v>
      </c>
      <c r="D136" t="s">
        <v>211</v>
      </c>
      <c r="E136" t="s">
        <v>223</v>
      </c>
      <c r="F136">
        <v>103618</v>
      </c>
      <c r="G136" t="s">
        <v>231</v>
      </c>
      <c r="H136" t="s">
        <v>233</v>
      </c>
      <c r="I136" t="s">
        <v>235</v>
      </c>
      <c r="J136" t="s">
        <v>236</v>
      </c>
      <c r="K136" t="s">
        <v>240</v>
      </c>
      <c r="L136" t="s">
        <v>571</v>
      </c>
      <c r="M136" t="e">
        <f>VLOOKUP(L136,new!L:L,1,0)</f>
        <v>#N/A</v>
      </c>
    </row>
    <row r="137" spans="1:13" x14ac:dyDescent="0.2">
      <c r="A137" t="s">
        <v>146</v>
      </c>
      <c r="B137" t="s">
        <v>213</v>
      </c>
      <c r="C137" t="s">
        <v>219</v>
      </c>
      <c r="D137" t="s">
        <v>211</v>
      </c>
      <c r="E137" t="s">
        <v>220</v>
      </c>
      <c r="F137">
        <v>103013</v>
      </c>
      <c r="G137" t="s">
        <v>224</v>
      </c>
      <c r="H137" t="s">
        <v>233</v>
      </c>
      <c r="I137" t="s">
        <v>235</v>
      </c>
      <c r="J137" t="s">
        <v>239</v>
      </c>
      <c r="K137" t="s">
        <v>240</v>
      </c>
      <c r="L137" t="s">
        <v>362</v>
      </c>
      <c r="M137" t="str">
        <f>VLOOKUP(L137,new!L:L,1,0)</f>
        <v>F000136442100443045103013Dallasykar_AjayPrincipal500,000</v>
      </c>
    </row>
    <row r="138" spans="1:13" x14ac:dyDescent="0.2">
      <c r="A138" t="s">
        <v>147</v>
      </c>
      <c r="B138" t="s">
        <v>215</v>
      </c>
      <c r="C138" t="s">
        <v>217</v>
      </c>
      <c r="D138" t="s">
        <v>211</v>
      </c>
      <c r="E138" t="s">
        <v>223</v>
      </c>
      <c r="F138">
        <v>101961</v>
      </c>
      <c r="G138" t="s">
        <v>228</v>
      </c>
      <c r="H138" t="s">
        <v>227</v>
      </c>
      <c r="I138" t="s">
        <v>235</v>
      </c>
      <c r="J138" t="s">
        <v>238</v>
      </c>
      <c r="K138" t="s">
        <v>240</v>
      </c>
      <c r="L138" t="s">
        <v>395</v>
      </c>
      <c r="M138" t="str">
        <f>VLOOKUP(L138,new!L:L,1,0)</f>
        <v>F000137442005443045101961Parillis_Joseph_AnthonyManaging Director500,000</v>
      </c>
    </row>
    <row r="139" spans="1:13" x14ac:dyDescent="0.2">
      <c r="A139" t="s">
        <v>148</v>
      </c>
      <c r="B139" t="s">
        <v>212</v>
      </c>
      <c r="C139" t="s">
        <v>219</v>
      </c>
      <c r="D139" t="s">
        <v>215</v>
      </c>
      <c r="E139" t="s">
        <v>223</v>
      </c>
      <c r="F139">
        <v>101305</v>
      </c>
      <c r="G139" t="s">
        <v>234</v>
      </c>
      <c r="H139" t="s">
        <v>225</v>
      </c>
      <c r="I139" t="s">
        <v>235</v>
      </c>
      <c r="J139" t="s">
        <v>239</v>
      </c>
      <c r="K139" t="s">
        <v>241</v>
      </c>
      <c r="L139" t="s">
        <v>363</v>
      </c>
      <c r="M139" t="str">
        <f>VLOOKUP(L139,new!L:L,1,0)</f>
        <v>F000138445047442005101305Hart_ChristopherPrincipal100,000</v>
      </c>
    </row>
    <row r="140" spans="1:13" x14ac:dyDescent="0.2">
      <c r="A140" t="s">
        <v>149</v>
      </c>
      <c r="B140" t="s">
        <v>214</v>
      </c>
      <c r="C140" t="s">
        <v>217</v>
      </c>
      <c r="D140" t="s">
        <v>212</v>
      </c>
      <c r="E140" t="s">
        <v>221</v>
      </c>
      <c r="F140">
        <v>102659</v>
      </c>
      <c r="G140" t="s">
        <v>230</v>
      </c>
      <c r="H140" t="s">
        <v>232</v>
      </c>
      <c r="I140" t="s">
        <v>235</v>
      </c>
      <c r="J140" t="s">
        <v>239</v>
      </c>
      <c r="K140" t="s">
        <v>241</v>
      </c>
      <c r="L140" t="s">
        <v>572</v>
      </c>
      <c r="M140" t="e">
        <f>VLOOKUP(L140,new!L:L,1,0)</f>
        <v>#N/A</v>
      </c>
    </row>
    <row r="141" spans="1:13" x14ac:dyDescent="0.2">
      <c r="A141" t="s">
        <v>150</v>
      </c>
      <c r="B141" t="s">
        <v>212</v>
      </c>
      <c r="C141" t="s">
        <v>219</v>
      </c>
      <c r="D141" t="s">
        <v>211</v>
      </c>
      <c r="E141" t="s">
        <v>222</v>
      </c>
      <c r="F141">
        <v>101067</v>
      </c>
      <c r="G141" t="s">
        <v>226</v>
      </c>
      <c r="H141" t="s">
        <v>233</v>
      </c>
      <c r="I141" t="s">
        <v>235</v>
      </c>
      <c r="J141" t="s">
        <v>239</v>
      </c>
      <c r="K141" t="s">
        <v>242</v>
      </c>
      <c r="L141" t="s">
        <v>403</v>
      </c>
      <c r="M141" t="str">
        <f>VLOOKUP(L141,new!L:L,1,0)</f>
        <v>F000140445047443045101067Dallasykar_AjayPrincipal&gt;1,000,000</v>
      </c>
    </row>
    <row r="142" spans="1:13" x14ac:dyDescent="0.2">
      <c r="A142" t="s">
        <v>151</v>
      </c>
      <c r="B142" t="s">
        <v>211</v>
      </c>
      <c r="C142" t="s">
        <v>217</v>
      </c>
      <c r="D142" t="s">
        <v>211</v>
      </c>
      <c r="E142" t="s">
        <v>221</v>
      </c>
      <c r="F142">
        <v>103008</v>
      </c>
      <c r="G142" t="s">
        <v>232</v>
      </c>
      <c r="H142" t="s">
        <v>228</v>
      </c>
      <c r="I142" t="s">
        <v>235</v>
      </c>
      <c r="J142" t="s">
        <v>237</v>
      </c>
      <c r="K142" t="s">
        <v>241</v>
      </c>
      <c r="L142" t="s">
        <v>382</v>
      </c>
      <c r="M142" t="str">
        <f>VLOOKUP(L142,new!L:L,1,0)</f>
        <v>F000141443045443045103008Masud_ShahidAssociate Director100,000</v>
      </c>
    </row>
    <row r="143" spans="1:13" x14ac:dyDescent="0.2">
      <c r="A143" t="s">
        <v>152</v>
      </c>
      <c r="B143" t="s">
        <v>212</v>
      </c>
      <c r="C143" t="s">
        <v>219</v>
      </c>
      <c r="D143" t="s">
        <v>211</v>
      </c>
      <c r="E143" t="s">
        <v>222</v>
      </c>
      <c r="F143">
        <v>101895</v>
      </c>
      <c r="G143" t="s">
        <v>224</v>
      </c>
      <c r="H143" t="s">
        <v>227</v>
      </c>
      <c r="I143" t="s">
        <v>235</v>
      </c>
      <c r="J143" t="s">
        <v>237</v>
      </c>
      <c r="K143" t="s">
        <v>240</v>
      </c>
      <c r="L143" t="s">
        <v>417</v>
      </c>
      <c r="M143" t="str">
        <f>VLOOKUP(L143,new!L:L,1,0)</f>
        <v>F000142445047443045101895Parillis_Joseph_AnthonyAssociate Director500,000</v>
      </c>
    </row>
    <row r="144" spans="1:13" x14ac:dyDescent="0.2">
      <c r="A144" t="s">
        <v>153</v>
      </c>
      <c r="B144" t="s">
        <v>211</v>
      </c>
      <c r="C144" t="s">
        <v>216</v>
      </c>
      <c r="D144" t="s">
        <v>214</v>
      </c>
      <c r="E144" t="s">
        <v>218</v>
      </c>
      <c r="F144">
        <v>101027</v>
      </c>
      <c r="G144" t="s">
        <v>233</v>
      </c>
      <c r="H144" t="s">
        <v>225</v>
      </c>
      <c r="I144" t="s">
        <v>235</v>
      </c>
      <c r="J144" t="s">
        <v>236</v>
      </c>
      <c r="K144" t="s">
        <v>243</v>
      </c>
      <c r="L144" t="s">
        <v>573</v>
      </c>
      <c r="M144" t="e">
        <f>VLOOKUP(L144,new!L:L,1,0)</f>
        <v>#N/A</v>
      </c>
    </row>
    <row r="145" spans="1:13" x14ac:dyDescent="0.2">
      <c r="A145" t="s">
        <v>154</v>
      </c>
      <c r="B145" t="s">
        <v>215</v>
      </c>
      <c r="C145" t="s">
        <v>219</v>
      </c>
      <c r="D145" t="s">
        <v>211</v>
      </c>
      <c r="E145" t="s">
        <v>223</v>
      </c>
      <c r="F145">
        <v>103328</v>
      </c>
      <c r="G145" t="s">
        <v>224</v>
      </c>
      <c r="H145" t="s">
        <v>224</v>
      </c>
      <c r="I145" t="s">
        <v>235</v>
      </c>
      <c r="J145" t="s">
        <v>239</v>
      </c>
      <c r="K145" t="s">
        <v>243</v>
      </c>
      <c r="L145" t="s">
        <v>374</v>
      </c>
      <c r="M145" t="str">
        <f>VLOOKUP(L145,new!L:L,1,0)</f>
        <v>F000144442005443045103328Jonathan_CancrcoPrincipal250,000</v>
      </c>
    </row>
    <row r="146" spans="1:13" x14ac:dyDescent="0.2">
      <c r="A146" t="s">
        <v>155</v>
      </c>
      <c r="B146" t="s">
        <v>211</v>
      </c>
      <c r="C146" t="s">
        <v>216</v>
      </c>
      <c r="D146" t="s">
        <v>213</v>
      </c>
      <c r="E146" t="s">
        <v>221</v>
      </c>
      <c r="F146">
        <v>101708</v>
      </c>
      <c r="G146" t="s">
        <v>232</v>
      </c>
      <c r="H146" t="s">
        <v>227</v>
      </c>
      <c r="I146" t="s">
        <v>235</v>
      </c>
      <c r="J146" t="s">
        <v>237</v>
      </c>
      <c r="K146" t="s">
        <v>242</v>
      </c>
      <c r="L146" t="s">
        <v>574</v>
      </c>
      <c r="M146" t="e">
        <f>VLOOKUP(L146,new!L:L,1,0)</f>
        <v>#N/A</v>
      </c>
    </row>
    <row r="147" spans="1:13" x14ac:dyDescent="0.2">
      <c r="A147" t="s">
        <v>156</v>
      </c>
      <c r="B147" t="s">
        <v>214</v>
      </c>
      <c r="C147" t="s">
        <v>216</v>
      </c>
      <c r="D147" t="s">
        <v>211</v>
      </c>
      <c r="E147" t="s">
        <v>218</v>
      </c>
      <c r="F147">
        <v>103519</v>
      </c>
      <c r="G147" t="s">
        <v>231</v>
      </c>
      <c r="H147" t="s">
        <v>228</v>
      </c>
      <c r="I147" t="s">
        <v>235</v>
      </c>
      <c r="J147" t="s">
        <v>238</v>
      </c>
      <c r="K147" t="s">
        <v>242</v>
      </c>
      <c r="L147" t="s">
        <v>575</v>
      </c>
      <c r="M147" t="e">
        <f>VLOOKUP(L147,new!L:L,1,0)</f>
        <v>#N/A</v>
      </c>
    </row>
    <row r="148" spans="1:13" x14ac:dyDescent="0.2">
      <c r="A148" t="s">
        <v>157</v>
      </c>
      <c r="B148" t="s">
        <v>213</v>
      </c>
      <c r="C148" t="s">
        <v>216</v>
      </c>
      <c r="D148" t="s">
        <v>215</v>
      </c>
      <c r="E148" t="s">
        <v>220</v>
      </c>
      <c r="F148">
        <v>103864</v>
      </c>
      <c r="G148" t="s">
        <v>228</v>
      </c>
      <c r="H148" t="s">
        <v>231</v>
      </c>
      <c r="I148" t="s">
        <v>235</v>
      </c>
      <c r="J148" t="s">
        <v>237</v>
      </c>
      <c r="K148" t="s">
        <v>243</v>
      </c>
      <c r="L148" t="s">
        <v>576</v>
      </c>
      <c r="M148" t="e">
        <f>VLOOKUP(L148,new!L:L,1,0)</f>
        <v>#N/A</v>
      </c>
    </row>
    <row r="149" spans="1:13" x14ac:dyDescent="0.2">
      <c r="A149" t="s">
        <v>158</v>
      </c>
      <c r="B149" t="s">
        <v>214</v>
      </c>
      <c r="C149" t="s">
        <v>216</v>
      </c>
      <c r="D149" t="s">
        <v>213</v>
      </c>
      <c r="E149" t="s">
        <v>221</v>
      </c>
      <c r="F149">
        <v>101521</v>
      </c>
      <c r="G149" t="s">
        <v>232</v>
      </c>
      <c r="H149" t="s">
        <v>226</v>
      </c>
      <c r="I149" t="s">
        <v>235</v>
      </c>
      <c r="J149" t="s">
        <v>239</v>
      </c>
      <c r="K149" t="s">
        <v>240</v>
      </c>
      <c r="L149" t="s">
        <v>577</v>
      </c>
      <c r="M149" t="e">
        <f>VLOOKUP(L149,new!L:L,1,0)</f>
        <v>#N/A</v>
      </c>
    </row>
    <row r="150" spans="1:13" x14ac:dyDescent="0.2">
      <c r="A150" t="s">
        <v>159</v>
      </c>
      <c r="B150" t="s">
        <v>212</v>
      </c>
      <c r="C150" t="s">
        <v>218</v>
      </c>
      <c r="D150" t="s">
        <v>214</v>
      </c>
      <c r="E150" t="s">
        <v>223</v>
      </c>
      <c r="F150">
        <v>101014</v>
      </c>
      <c r="G150" t="s">
        <v>230</v>
      </c>
      <c r="H150" t="s">
        <v>232</v>
      </c>
      <c r="I150" t="s">
        <v>235</v>
      </c>
      <c r="J150" t="s">
        <v>236</v>
      </c>
      <c r="K150" t="s">
        <v>241</v>
      </c>
      <c r="L150" t="s">
        <v>348</v>
      </c>
      <c r="M150" t="str">
        <f>VLOOKUP(L150,new!L:L,1,0)</f>
        <v>F000149445047442003101014Pinto_Miguel_AnthonyDirector100,000</v>
      </c>
    </row>
    <row r="151" spans="1:13" x14ac:dyDescent="0.2">
      <c r="A151" t="s">
        <v>160</v>
      </c>
      <c r="B151" t="s">
        <v>214</v>
      </c>
      <c r="C151" t="s">
        <v>219</v>
      </c>
      <c r="D151" t="s">
        <v>215</v>
      </c>
      <c r="E151" t="s">
        <v>222</v>
      </c>
      <c r="F151">
        <v>102396</v>
      </c>
      <c r="G151" t="s">
        <v>228</v>
      </c>
      <c r="H151" t="s">
        <v>229</v>
      </c>
      <c r="I151" t="s">
        <v>235</v>
      </c>
      <c r="J151" t="s">
        <v>239</v>
      </c>
      <c r="K151" t="s">
        <v>242</v>
      </c>
      <c r="L151" t="s">
        <v>578</v>
      </c>
      <c r="M151" t="e">
        <f>VLOOKUP(L151,new!L:L,1,0)</f>
        <v>#N/A</v>
      </c>
    </row>
    <row r="152" spans="1:13" x14ac:dyDescent="0.2">
      <c r="A152" t="s">
        <v>161</v>
      </c>
      <c r="B152" t="s">
        <v>211</v>
      </c>
      <c r="C152" t="s">
        <v>217</v>
      </c>
      <c r="D152" t="s">
        <v>211</v>
      </c>
      <c r="E152" t="s">
        <v>220</v>
      </c>
      <c r="F152">
        <v>103032</v>
      </c>
      <c r="G152" t="s">
        <v>224</v>
      </c>
      <c r="H152" t="s">
        <v>229</v>
      </c>
      <c r="I152" t="s">
        <v>235</v>
      </c>
      <c r="J152" t="s">
        <v>236</v>
      </c>
      <c r="K152" t="s">
        <v>242</v>
      </c>
      <c r="L152" t="s">
        <v>360</v>
      </c>
      <c r="M152" t="str">
        <f>VLOOKUP(L152,new!L:L,1,0)</f>
        <v>F000151443045443045103032Gaffney_Jocelyn_KDirector&gt;1,000,000</v>
      </c>
    </row>
    <row r="153" spans="1:13" x14ac:dyDescent="0.2">
      <c r="A153" t="s">
        <v>162</v>
      </c>
      <c r="B153" t="s">
        <v>215</v>
      </c>
      <c r="C153" t="s">
        <v>217</v>
      </c>
      <c r="D153" t="s">
        <v>211</v>
      </c>
      <c r="E153" t="s">
        <v>222</v>
      </c>
      <c r="F153">
        <v>101825</v>
      </c>
      <c r="G153" t="s">
        <v>226</v>
      </c>
      <c r="H153" t="s">
        <v>232</v>
      </c>
      <c r="I153" t="s">
        <v>235</v>
      </c>
      <c r="J153" t="s">
        <v>237</v>
      </c>
      <c r="K153" t="s">
        <v>243</v>
      </c>
      <c r="L153" t="s">
        <v>579</v>
      </c>
      <c r="M153" t="e">
        <f>VLOOKUP(L153,new!L:L,1,0)</f>
        <v>#N/A</v>
      </c>
    </row>
    <row r="154" spans="1:13" x14ac:dyDescent="0.2">
      <c r="A154" t="s">
        <v>163</v>
      </c>
      <c r="B154" t="s">
        <v>211</v>
      </c>
      <c r="C154" t="s">
        <v>219</v>
      </c>
      <c r="D154" t="s">
        <v>214</v>
      </c>
      <c r="E154" t="s">
        <v>222</v>
      </c>
      <c r="F154">
        <v>102102</v>
      </c>
      <c r="G154" t="s">
        <v>232</v>
      </c>
      <c r="H154" t="s">
        <v>224</v>
      </c>
      <c r="I154" t="s">
        <v>235</v>
      </c>
      <c r="J154" t="s">
        <v>238</v>
      </c>
      <c r="K154" t="s">
        <v>243</v>
      </c>
      <c r="L154" t="s">
        <v>343</v>
      </c>
      <c r="M154" t="str">
        <f>VLOOKUP(L154,new!L:L,1,0)</f>
        <v>F000153443045442003102102Jonathan_CancrcoManaging Director250,000</v>
      </c>
    </row>
    <row r="155" spans="1:13" x14ac:dyDescent="0.2">
      <c r="A155" t="s">
        <v>164</v>
      </c>
      <c r="B155" t="s">
        <v>215</v>
      </c>
      <c r="C155" t="s">
        <v>217</v>
      </c>
      <c r="D155" t="s">
        <v>215</v>
      </c>
      <c r="E155" t="s">
        <v>222</v>
      </c>
      <c r="F155">
        <v>102325</v>
      </c>
      <c r="G155" t="s">
        <v>224</v>
      </c>
      <c r="H155" t="s">
        <v>227</v>
      </c>
      <c r="I155" t="s">
        <v>235</v>
      </c>
      <c r="J155" t="s">
        <v>238</v>
      </c>
      <c r="K155" t="s">
        <v>240</v>
      </c>
      <c r="L155" t="s">
        <v>580</v>
      </c>
      <c r="M155" t="e">
        <f>VLOOKUP(L155,new!L:L,1,0)</f>
        <v>#N/A</v>
      </c>
    </row>
    <row r="156" spans="1:13" x14ac:dyDescent="0.2">
      <c r="A156" t="s">
        <v>165</v>
      </c>
      <c r="B156" t="s">
        <v>214</v>
      </c>
      <c r="C156" t="s">
        <v>217</v>
      </c>
      <c r="D156" t="s">
        <v>212</v>
      </c>
      <c r="E156" t="s">
        <v>220</v>
      </c>
      <c r="F156">
        <v>103782</v>
      </c>
      <c r="G156" t="s">
        <v>227</v>
      </c>
      <c r="H156" t="s">
        <v>227</v>
      </c>
      <c r="I156" t="s">
        <v>235</v>
      </c>
      <c r="J156" t="s">
        <v>237</v>
      </c>
      <c r="K156" t="s">
        <v>243</v>
      </c>
      <c r="L156" t="s">
        <v>581</v>
      </c>
      <c r="M156" t="e">
        <f>VLOOKUP(L156,new!L:L,1,0)</f>
        <v>#N/A</v>
      </c>
    </row>
    <row r="157" spans="1:13" x14ac:dyDescent="0.2">
      <c r="A157" t="s">
        <v>166</v>
      </c>
      <c r="B157" t="s">
        <v>211</v>
      </c>
      <c r="C157" t="s">
        <v>218</v>
      </c>
      <c r="D157" t="s">
        <v>212</v>
      </c>
      <c r="E157" t="s">
        <v>223</v>
      </c>
      <c r="F157">
        <v>101360</v>
      </c>
      <c r="G157" t="s">
        <v>225</v>
      </c>
      <c r="H157" t="s">
        <v>233</v>
      </c>
      <c r="I157" t="s">
        <v>235</v>
      </c>
      <c r="J157" t="s">
        <v>237</v>
      </c>
      <c r="K157" t="s">
        <v>243</v>
      </c>
      <c r="L157" t="s">
        <v>582</v>
      </c>
      <c r="M157" t="e">
        <f>VLOOKUP(L157,new!L:L,1,0)</f>
        <v>#N/A</v>
      </c>
    </row>
    <row r="158" spans="1:13" x14ac:dyDescent="0.2">
      <c r="A158" t="s">
        <v>167</v>
      </c>
      <c r="B158" t="s">
        <v>213</v>
      </c>
      <c r="C158" t="s">
        <v>216</v>
      </c>
      <c r="D158" t="s">
        <v>213</v>
      </c>
      <c r="E158" t="s">
        <v>218</v>
      </c>
      <c r="F158">
        <v>101004</v>
      </c>
      <c r="G158" t="s">
        <v>233</v>
      </c>
      <c r="H158" t="s">
        <v>234</v>
      </c>
      <c r="I158" t="s">
        <v>235</v>
      </c>
      <c r="J158" t="s">
        <v>236</v>
      </c>
      <c r="K158" t="s">
        <v>240</v>
      </c>
      <c r="L158" t="s">
        <v>583</v>
      </c>
      <c r="M158" t="e">
        <f>VLOOKUP(L158,new!L:L,1,0)</f>
        <v>#N/A</v>
      </c>
    </row>
    <row r="159" spans="1:13" x14ac:dyDescent="0.2">
      <c r="A159" t="s">
        <v>168</v>
      </c>
      <c r="B159" t="s">
        <v>212</v>
      </c>
      <c r="C159" t="s">
        <v>217</v>
      </c>
      <c r="D159" t="s">
        <v>212</v>
      </c>
      <c r="E159" t="s">
        <v>223</v>
      </c>
      <c r="F159">
        <v>102993</v>
      </c>
      <c r="G159" t="s">
        <v>228</v>
      </c>
      <c r="H159" t="s">
        <v>224</v>
      </c>
      <c r="I159" t="s">
        <v>235</v>
      </c>
      <c r="J159" t="s">
        <v>237</v>
      </c>
      <c r="K159" t="s">
        <v>243</v>
      </c>
      <c r="L159" t="s">
        <v>584</v>
      </c>
      <c r="M159" t="e">
        <f>VLOOKUP(L159,new!L:L,1,0)</f>
        <v>#N/A</v>
      </c>
    </row>
    <row r="160" spans="1:13" x14ac:dyDescent="0.2">
      <c r="A160" t="s">
        <v>169</v>
      </c>
      <c r="B160" t="s">
        <v>211</v>
      </c>
      <c r="C160" t="s">
        <v>219</v>
      </c>
      <c r="D160" t="s">
        <v>211</v>
      </c>
      <c r="E160" t="s">
        <v>223</v>
      </c>
      <c r="F160">
        <v>103585</v>
      </c>
      <c r="G160" t="s">
        <v>226</v>
      </c>
      <c r="H160" t="s">
        <v>224</v>
      </c>
      <c r="I160" t="s">
        <v>235</v>
      </c>
      <c r="J160" t="s">
        <v>239</v>
      </c>
      <c r="K160" t="s">
        <v>243</v>
      </c>
      <c r="L160" t="s">
        <v>329</v>
      </c>
      <c r="M160" t="str">
        <f>VLOOKUP(L160,new!L:L,1,0)</f>
        <v>F000159443045443045103585Jonathan_CancrcoPrincipal250,000</v>
      </c>
    </row>
    <row r="161" spans="1:13" x14ac:dyDescent="0.2">
      <c r="A161" t="s">
        <v>170</v>
      </c>
      <c r="B161" t="s">
        <v>211</v>
      </c>
      <c r="C161" t="s">
        <v>217</v>
      </c>
      <c r="D161" t="s">
        <v>211</v>
      </c>
      <c r="E161" t="s">
        <v>221</v>
      </c>
      <c r="F161">
        <v>101379</v>
      </c>
      <c r="G161" t="s">
        <v>227</v>
      </c>
      <c r="H161" t="s">
        <v>227</v>
      </c>
      <c r="I161" t="s">
        <v>235</v>
      </c>
      <c r="J161" t="s">
        <v>238</v>
      </c>
      <c r="K161" t="s">
        <v>241</v>
      </c>
      <c r="L161" t="s">
        <v>422</v>
      </c>
      <c r="M161" t="str">
        <f>VLOOKUP(L161,new!L:L,1,0)</f>
        <v>F000160443045443045101379Parillis_Joseph_AnthonyManaging Director100,000</v>
      </c>
    </row>
    <row r="162" spans="1:13" x14ac:dyDescent="0.2">
      <c r="A162" t="s">
        <v>171</v>
      </c>
      <c r="B162" t="s">
        <v>214</v>
      </c>
      <c r="C162" t="s">
        <v>218</v>
      </c>
      <c r="D162" t="s">
        <v>213</v>
      </c>
      <c r="E162" t="s">
        <v>218</v>
      </c>
      <c r="F162">
        <v>103776</v>
      </c>
      <c r="G162" t="s">
        <v>233</v>
      </c>
      <c r="H162" t="s">
        <v>234</v>
      </c>
      <c r="I162" t="s">
        <v>235</v>
      </c>
      <c r="J162" t="s">
        <v>238</v>
      </c>
      <c r="K162" t="s">
        <v>240</v>
      </c>
      <c r="L162" t="s">
        <v>585</v>
      </c>
      <c r="M162" t="e">
        <f>VLOOKUP(L162,new!L:L,1,0)</f>
        <v>#N/A</v>
      </c>
    </row>
    <row r="163" spans="1:13" x14ac:dyDescent="0.2">
      <c r="A163" t="s">
        <v>172</v>
      </c>
      <c r="B163" t="s">
        <v>215</v>
      </c>
      <c r="C163" t="s">
        <v>218</v>
      </c>
      <c r="D163" t="s">
        <v>211</v>
      </c>
      <c r="E163" t="s">
        <v>223</v>
      </c>
      <c r="F163">
        <v>102256</v>
      </c>
      <c r="G163" t="s">
        <v>233</v>
      </c>
      <c r="H163" t="s">
        <v>231</v>
      </c>
      <c r="I163" t="s">
        <v>235</v>
      </c>
      <c r="J163" t="s">
        <v>238</v>
      </c>
      <c r="K163" t="s">
        <v>241</v>
      </c>
      <c r="L163" t="s">
        <v>412</v>
      </c>
      <c r="M163" t="str">
        <f>VLOOKUP(L163,new!L:L,1,0)</f>
        <v>F000162442005443045102256Thakkar_AshishManaging Director100,000</v>
      </c>
    </row>
    <row r="164" spans="1:13" x14ac:dyDescent="0.2">
      <c r="A164" t="s">
        <v>173</v>
      </c>
      <c r="B164" t="s">
        <v>211</v>
      </c>
      <c r="C164" t="s">
        <v>216</v>
      </c>
      <c r="D164" t="s">
        <v>214</v>
      </c>
      <c r="E164" t="s">
        <v>220</v>
      </c>
      <c r="F164">
        <v>101543</v>
      </c>
      <c r="G164" t="s">
        <v>230</v>
      </c>
      <c r="H164" t="s">
        <v>224</v>
      </c>
      <c r="I164" t="s">
        <v>235</v>
      </c>
      <c r="J164" t="s">
        <v>236</v>
      </c>
      <c r="K164" t="s">
        <v>241</v>
      </c>
      <c r="L164" t="s">
        <v>398</v>
      </c>
      <c r="M164" t="str">
        <f>VLOOKUP(L164,new!L:L,1,0)</f>
        <v>F000163443045442003101543Jonathan_CancrcoDirector100,000</v>
      </c>
    </row>
    <row r="165" spans="1:13" x14ac:dyDescent="0.2">
      <c r="A165" t="s">
        <v>174</v>
      </c>
      <c r="B165" t="s">
        <v>215</v>
      </c>
      <c r="C165" t="s">
        <v>219</v>
      </c>
      <c r="D165" t="s">
        <v>213</v>
      </c>
      <c r="E165" t="s">
        <v>221</v>
      </c>
      <c r="F165">
        <v>103472</v>
      </c>
      <c r="G165" t="s">
        <v>230</v>
      </c>
      <c r="H165" t="s">
        <v>226</v>
      </c>
      <c r="I165" t="s">
        <v>235</v>
      </c>
      <c r="J165" t="s">
        <v>237</v>
      </c>
      <c r="K165" t="s">
        <v>243</v>
      </c>
      <c r="L165" t="s">
        <v>586</v>
      </c>
      <c r="M165" t="e">
        <f>VLOOKUP(L165,new!L:L,1,0)</f>
        <v>#N/A</v>
      </c>
    </row>
    <row r="166" spans="1:13" x14ac:dyDescent="0.2">
      <c r="A166" t="s">
        <v>175</v>
      </c>
      <c r="B166" t="s">
        <v>211</v>
      </c>
      <c r="C166" t="s">
        <v>216</v>
      </c>
      <c r="D166" t="s">
        <v>215</v>
      </c>
      <c r="E166" t="s">
        <v>220</v>
      </c>
      <c r="F166">
        <v>102244</v>
      </c>
      <c r="G166" t="s">
        <v>227</v>
      </c>
      <c r="H166" t="s">
        <v>226</v>
      </c>
      <c r="I166" t="s">
        <v>235</v>
      </c>
      <c r="J166" t="s">
        <v>237</v>
      </c>
      <c r="K166" t="s">
        <v>243</v>
      </c>
      <c r="L166" t="s">
        <v>364</v>
      </c>
      <c r="M166" t="str">
        <f>VLOOKUP(L166,new!L:L,1,0)</f>
        <v>F000165443045442005102244Verderaime_JosephAssociate Director250,000</v>
      </c>
    </row>
    <row r="167" spans="1:13" x14ac:dyDescent="0.2">
      <c r="A167" t="s">
        <v>176</v>
      </c>
      <c r="B167" t="s">
        <v>213</v>
      </c>
      <c r="C167" t="s">
        <v>218</v>
      </c>
      <c r="D167" t="s">
        <v>213</v>
      </c>
      <c r="E167" t="s">
        <v>221</v>
      </c>
      <c r="F167">
        <v>102150</v>
      </c>
      <c r="G167" t="s">
        <v>230</v>
      </c>
      <c r="H167" t="s">
        <v>229</v>
      </c>
      <c r="I167" t="s">
        <v>235</v>
      </c>
      <c r="J167" t="s">
        <v>239</v>
      </c>
      <c r="K167" t="s">
        <v>242</v>
      </c>
      <c r="L167" t="s">
        <v>338</v>
      </c>
      <c r="M167" t="str">
        <f>VLOOKUP(L167,new!L:L,1,0)</f>
        <v>F000166442100442100102150Gaffney_Jocelyn_KPrincipal&gt;1,000,000</v>
      </c>
    </row>
    <row r="168" spans="1:13" x14ac:dyDescent="0.2">
      <c r="A168" t="s">
        <v>177</v>
      </c>
      <c r="B168" t="s">
        <v>214</v>
      </c>
      <c r="C168" t="s">
        <v>219</v>
      </c>
      <c r="D168" t="s">
        <v>211</v>
      </c>
      <c r="E168" t="s">
        <v>223</v>
      </c>
      <c r="F168">
        <v>101943</v>
      </c>
      <c r="G168" t="s">
        <v>227</v>
      </c>
      <c r="H168" t="s">
        <v>231</v>
      </c>
      <c r="I168" t="s">
        <v>235</v>
      </c>
      <c r="J168" t="s">
        <v>238</v>
      </c>
      <c r="K168" t="s">
        <v>240</v>
      </c>
      <c r="L168" t="s">
        <v>587</v>
      </c>
      <c r="M168" t="e">
        <f>VLOOKUP(L168,new!L:L,1,0)</f>
        <v>#N/A</v>
      </c>
    </row>
    <row r="169" spans="1:13" x14ac:dyDescent="0.2">
      <c r="A169" t="s">
        <v>178</v>
      </c>
      <c r="B169" t="s">
        <v>212</v>
      </c>
      <c r="C169" t="s">
        <v>218</v>
      </c>
      <c r="D169" t="s">
        <v>214</v>
      </c>
      <c r="E169" t="s">
        <v>221</v>
      </c>
      <c r="F169">
        <v>101770</v>
      </c>
      <c r="G169" t="s">
        <v>224</v>
      </c>
      <c r="H169" t="s">
        <v>234</v>
      </c>
      <c r="I169" t="s">
        <v>235</v>
      </c>
      <c r="J169" t="s">
        <v>239</v>
      </c>
      <c r="K169" t="s">
        <v>241</v>
      </c>
      <c r="L169" t="s">
        <v>588</v>
      </c>
      <c r="M169" t="e">
        <f>VLOOKUP(L169,new!L:L,1,0)</f>
        <v>#N/A</v>
      </c>
    </row>
    <row r="170" spans="1:13" x14ac:dyDescent="0.2">
      <c r="A170" t="s">
        <v>179</v>
      </c>
      <c r="B170" t="s">
        <v>215</v>
      </c>
      <c r="C170" t="s">
        <v>219</v>
      </c>
      <c r="D170" t="s">
        <v>211</v>
      </c>
      <c r="E170" t="s">
        <v>220</v>
      </c>
      <c r="F170">
        <v>103951</v>
      </c>
      <c r="G170" t="s">
        <v>232</v>
      </c>
      <c r="H170" t="s">
        <v>227</v>
      </c>
      <c r="I170" t="s">
        <v>235</v>
      </c>
      <c r="J170" t="s">
        <v>239</v>
      </c>
      <c r="K170" t="s">
        <v>240</v>
      </c>
      <c r="L170" t="s">
        <v>589</v>
      </c>
      <c r="M170" t="e">
        <f>VLOOKUP(L170,new!L:L,1,0)</f>
        <v>#N/A</v>
      </c>
    </row>
    <row r="171" spans="1:13" x14ac:dyDescent="0.2">
      <c r="A171" t="s">
        <v>180</v>
      </c>
      <c r="B171" t="s">
        <v>214</v>
      </c>
      <c r="C171" t="s">
        <v>216</v>
      </c>
      <c r="D171" t="s">
        <v>212</v>
      </c>
      <c r="E171" t="s">
        <v>220</v>
      </c>
      <c r="F171">
        <v>101345</v>
      </c>
      <c r="G171" t="s">
        <v>233</v>
      </c>
      <c r="H171" t="s">
        <v>230</v>
      </c>
      <c r="I171" t="s">
        <v>235</v>
      </c>
      <c r="J171" t="s">
        <v>237</v>
      </c>
      <c r="K171" t="s">
        <v>243</v>
      </c>
      <c r="L171" t="s">
        <v>386</v>
      </c>
      <c r="M171" t="str">
        <f>VLOOKUP(L171,new!L:L,1,0)</f>
        <v>F000170442003445047101345Shinde_AshutoshAssociate Director250,000</v>
      </c>
    </row>
    <row r="172" spans="1:13" x14ac:dyDescent="0.2">
      <c r="A172" t="s">
        <v>181</v>
      </c>
      <c r="B172" t="s">
        <v>212</v>
      </c>
      <c r="C172" t="s">
        <v>219</v>
      </c>
      <c r="D172" t="s">
        <v>211</v>
      </c>
      <c r="E172" t="s">
        <v>218</v>
      </c>
      <c r="F172">
        <v>103825</v>
      </c>
      <c r="G172" t="s">
        <v>234</v>
      </c>
      <c r="H172" t="s">
        <v>230</v>
      </c>
      <c r="I172" t="s">
        <v>235</v>
      </c>
      <c r="J172" t="s">
        <v>239</v>
      </c>
      <c r="K172" t="s">
        <v>240</v>
      </c>
      <c r="L172" t="s">
        <v>333</v>
      </c>
      <c r="M172" t="str">
        <f>VLOOKUP(L172,new!L:L,1,0)</f>
        <v>F000171445047443045103825Shinde_AshutoshPrincipal500,000</v>
      </c>
    </row>
    <row r="173" spans="1:13" x14ac:dyDescent="0.2">
      <c r="A173" t="s">
        <v>182</v>
      </c>
      <c r="B173" t="s">
        <v>212</v>
      </c>
      <c r="C173" t="s">
        <v>217</v>
      </c>
      <c r="D173" t="s">
        <v>214</v>
      </c>
      <c r="E173" t="s">
        <v>218</v>
      </c>
      <c r="F173">
        <v>103371</v>
      </c>
      <c r="G173" t="s">
        <v>232</v>
      </c>
      <c r="H173" t="s">
        <v>227</v>
      </c>
      <c r="I173" t="s">
        <v>235</v>
      </c>
      <c r="J173" t="s">
        <v>239</v>
      </c>
      <c r="K173" t="s">
        <v>241</v>
      </c>
      <c r="L173" t="s">
        <v>590</v>
      </c>
      <c r="M173" t="e">
        <f>VLOOKUP(L173,new!L:L,1,0)</f>
        <v>#N/A</v>
      </c>
    </row>
    <row r="174" spans="1:13" x14ac:dyDescent="0.2">
      <c r="A174" t="s">
        <v>183</v>
      </c>
      <c r="B174" t="s">
        <v>213</v>
      </c>
      <c r="C174" t="s">
        <v>219</v>
      </c>
      <c r="D174" t="s">
        <v>212</v>
      </c>
      <c r="E174" t="s">
        <v>223</v>
      </c>
      <c r="F174">
        <v>102445</v>
      </c>
      <c r="G174" t="s">
        <v>227</v>
      </c>
      <c r="H174" t="s">
        <v>231</v>
      </c>
      <c r="I174" t="s">
        <v>235</v>
      </c>
      <c r="J174" t="s">
        <v>236</v>
      </c>
      <c r="K174" t="s">
        <v>243</v>
      </c>
      <c r="L174" t="s">
        <v>384</v>
      </c>
      <c r="M174" t="str">
        <f>VLOOKUP(L174,new!L:L,1,0)</f>
        <v>F000173442100445047102445Thakkar_AshishDirector250,000</v>
      </c>
    </row>
    <row r="175" spans="1:13" x14ac:dyDescent="0.2">
      <c r="A175" t="s">
        <v>184</v>
      </c>
      <c r="B175" t="s">
        <v>213</v>
      </c>
      <c r="C175" t="s">
        <v>217</v>
      </c>
      <c r="D175" t="s">
        <v>212</v>
      </c>
      <c r="E175" t="s">
        <v>223</v>
      </c>
      <c r="F175">
        <v>101097</v>
      </c>
      <c r="G175" t="s">
        <v>230</v>
      </c>
      <c r="H175" t="s">
        <v>228</v>
      </c>
      <c r="I175" t="s">
        <v>235</v>
      </c>
      <c r="J175" t="s">
        <v>237</v>
      </c>
      <c r="K175" t="s">
        <v>243</v>
      </c>
      <c r="L175" t="s">
        <v>377</v>
      </c>
      <c r="M175" t="str">
        <f>VLOOKUP(L175,new!L:L,1,0)</f>
        <v>F000174442100445047101097Masud_ShahidAssociate Director250,000</v>
      </c>
    </row>
    <row r="176" spans="1:13" x14ac:dyDescent="0.2">
      <c r="A176" t="s">
        <v>185</v>
      </c>
      <c r="B176" t="s">
        <v>212</v>
      </c>
      <c r="C176" t="s">
        <v>218</v>
      </c>
      <c r="D176" t="s">
        <v>214</v>
      </c>
      <c r="E176" t="s">
        <v>221</v>
      </c>
      <c r="F176">
        <v>103265</v>
      </c>
      <c r="G176" t="s">
        <v>227</v>
      </c>
      <c r="H176" t="s">
        <v>230</v>
      </c>
      <c r="I176" t="s">
        <v>235</v>
      </c>
      <c r="J176" t="s">
        <v>238</v>
      </c>
      <c r="K176" t="s">
        <v>242</v>
      </c>
      <c r="L176" t="s">
        <v>334</v>
      </c>
      <c r="M176" t="str">
        <f>VLOOKUP(L176,new!L:L,1,0)</f>
        <v>F000175445047442003103265Shinde_AshutoshManaging Director&gt;1,000,000</v>
      </c>
    </row>
    <row r="177" spans="1:13" x14ac:dyDescent="0.2">
      <c r="A177" t="s">
        <v>186</v>
      </c>
      <c r="B177" t="s">
        <v>211</v>
      </c>
      <c r="C177" t="s">
        <v>218</v>
      </c>
      <c r="D177" t="s">
        <v>214</v>
      </c>
      <c r="E177" t="s">
        <v>220</v>
      </c>
      <c r="F177">
        <v>103187</v>
      </c>
      <c r="G177" t="s">
        <v>225</v>
      </c>
      <c r="H177" t="s">
        <v>230</v>
      </c>
      <c r="I177" t="s">
        <v>235</v>
      </c>
      <c r="J177" t="s">
        <v>238</v>
      </c>
      <c r="K177" t="s">
        <v>243</v>
      </c>
      <c r="L177" t="s">
        <v>591</v>
      </c>
      <c r="M177" t="e">
        <f>VLOOKUP(L177,new!L:L,1,0)</f>
        <v>#N/A</v>
      </c>
    </row>
    <row r="178" spans="1:13" x14ac:dyDescent="0.2">
      <c r="A178" t="s">
        <v>187</v>
      </c>
      <c r="B178" t="s">
        <v>211</v>
      </c>
      <c r="C178" t="s">
        <v>216</v>
      </c>
      <c r="D178" t="s">
        <v>215</v>
      </c>
      <c r="E178" t="s">
        <v>223</v>
      </c>
      <c r="F178">
        <v>101065</v>
      </c>
      <c r="G178" t="s">
        <v>234</v>
      </c>
      <c r="H178" t="s">
        <v>228</v>
      </c>
      <c r="I178" t="s">
        <v>235</v>
      </c>
      <c r="J178" t="s">
        <v>238</v>
      </c>
      <c r="K178" t="s">
        <v>242</v>
      </c>
      <c r="L178" t="s">
        <v>592</v>
      </c>
      <c r="M178" t="e">
        <f>VLOOKUP(L178,new!L:L,1,0)</f>
        <v>#N/A</v>
      </c>
    </row>
    <row r="179" spans="1:13" x14ac:dyDescent="0.2">
      <c r="A179" t="s">
        <v>188</v>
      </c>
      <c r="B179" t="s">
        <v>214</v>
      </c>
      <c r="C179" t="s">
        <v>216</v>
      </c>
      <c r="D179" t="s">
        <v>215</v>
      </c>
      <c r="E179" t="s">
        <v>223</v>
      </c>
      <c r="F179">
        <v>102769</v>
      </c>
      <c r="G179" t="s">
        <v>231</v>
      </c>
      <c r="H179" t="s">
        <v>228</v>
      </c>
      <c r="I179" t="s">
        <v>235</v>
      </c>
      <c r="J179" t="s">
        <v>238</v>
      </c>
      <c r="K179" t="s">
        <v>242</v>
      </c>
      <c r="L179" t="s">
        <v>341</v>
      </c>
      <c r="M179" t="str">
        <f>VLOOKUP(L179,new!L:L,1,0)</f>
        <v>F000178442003442005102769Masud_ShahidManaging Director&gt;1,000,000</v>
      </c>
    </row>
    <row r="180" spans="1:13" x14ac:dyDescent="0.2">
      <c r="A180" t="s">
        <v>189</v>
      </c>
      <c r="B180" t="s">
        <v>214</v>
      </c>
      <c r="C180" t="s">
        <v>217</v>
      </c>
      <c r="D180" t="s">
        <v>214</v>
      </c>
      <c r="E180" t="s">
        <v>223</v>
      </c>
      <c r="F180">
        <v>102560</v>
      </c>
      <c r="G180" t="s">
        <v>224</v>
      </c>
      <c r="H180" t="s">
        <v>232</v>
      </c>
      <c r="I180" t="s">
        <v>235</v>
      </c>
      <c r="J180" t="s">
        <v>239</v>
      </c>
      <c r="K180" t="s">
        <v>242</v>
      </c>
      <c r="L180" t="s">
        <v>593</v>
      </c>
      <c r="M180" t="e">
        <f>VLOOKUP(L180,new!L:L,1,0)</f>
        <v>#N/A</v>
      </c>
    </row>
    <row r="181" spans="1:13" x14ac:dyDescent="0.2">
      <c r="A181" t="s">
        <v>190</v>
      </c>
      <c r="B181" t="s">
        <v>212</v>
      </c>
      <c r="C181" t="s">
        <v>219</v>
      </c>
      <c r="D181" t="s">
        <v>213</v>
      </c>
      <c r="E181" t="s">
        <v>221</v>
      </c>
      <c r="F181">
        <v>102502</v>
      </c>
      <c r="G181" t="s">
        <v>228</v>
      </c>
      <c r="H181" t="s">
        <v>225</v>
      </c>
      <c r="I181" t="s">
        <v>235</v>
      </c>
      <c r="J181" t="s">
        <v>238</v>
      </c>
      <c r="K181" t="s">
        <v>242</v>
      </c>
      <c r="L181" t="s">
        <v>594</v>
      </c>
      <c r="M181" t="e">
        <f>VLOOKUP(L181,new!L:L,1,0)</f>
        <v>#N/A</v>
      </c>
    </row>
    <row r="182" spans="1:13" x14ac:dyDescent="0.2">
      <c r="A182" t="s">
        <v>191</v>
      </c>
      <c r="B182" t="s">
        <v>213</v>
      </c>
      <c r="C182" t="s">
        <v>216</v>
      </c>
      <c r="D182" t="s">
        <v>214</v>
      </c>
      <c r="E182" t="s">
        <v>223</v>
      </c>
      <c r="F182">
        <v>102339</v>
      </c>
      <c r="G182" t="s">
        <v>228</v>
      </c>
      <c r="H182" t="s">
        <v>227</v>
      </c>
      <c r="I182" t="s">
        <v>235</v>
      </c>
      <c r="J182" t="s">
        <v>237</v>
      </c>
      <c r="K182" t="s">
        <v>241</v>
      </c>
      <c r="L182" t="s">
        <v>595</v>
      </c>
      <c r="M182" t="e">
        <f>VLOOKUP(L182,new!L:L,1,0)</f>
        <v>#N/A</v>
      </c>
    </row>
    <row r="183" spans="1:13" x14ac:dyDescent="0.2">
      <c r="A183" t="s">
        <v>192</v>
      </c>
      <c r="B183" t="s">
        <v>212</v>
      </c>
      <c r="C183" t="s">
        <v>217</v>
      </c>
      <c r="D183" t="s">
        <v>212</v>
      </c>
      <c r="E183" t="s">
        <v>220</v>
      </c>
      <c r="F183">
        <v>101742</v>
      </c>
      <c r="G183" t="s">
        <v>231</v>
      </c>
      <c r="H183" t="s">
        <v>230</v>
      </c>
      <c r="I183" t="s">
        <v>235</v>
      </c>
      <c r="J183" t="s">
        <v>236</v>
      </c>
      <c r="K183" t="s">
        <v>241</v>
      </c>
      <c r="L183" t="s">
        <v>596</v>
      </c>
      <c r="M183" t="e">
        <f>VLOOKUP(L183,new!L:L,1,0)</f>
        <v>#N/A</v>
      </c>
    </row>
    <row r="184" spans="1:13" x14ac:dyDescent="0.2">
      <c r="A184" t="s">
        <v>193</v>
      </c>
      <c r="B184" t="s">
        <v>214</v>
      </c>
      <c r="C184" t="s">
        <v>217</v>
      </c>
      <c r="D184" t="s">
        <v>213</v>
      </c>
      <c r="E184" t="s">
        <v>222</v>
      </c>
      <c r="F184">
        <v>102000</v>
      </c>
      <c r="G184" t="s">
        <v>228</v>
      </c>
      <c r="H184" t="s">
        <v>234</v>
      </c>
      <c r="I184" t="s">
        <v>235</v>
      </c>
      <c r="J184" t="s">
        <v>238</v>
      </c>
      <c r="K184" t="s">
        <v>241</v>
      </c>
      <c r="L184" t="s">
        <v>337</v>
      </c>
      <c r="M184" t="str">
        <f>VLOOKUP(L184,new!L:L,1,0)</f>
        <v>F000183442003442100102000Limonpierre_IanManaging Director100,000</v>
      </c>
    </row>
    <row r="185" spans="1:13" x14ac:dyDescent="0.2">
      <c r="A185" t="s">
        <v>194</v>
      </c>
      <c r="B185" t="s">
        <v>214</v>
      </c>
      <c r="C185" t="s">
        <v>216</v>
      </c>
      <c r="D185" t="s">
        <v>214</v>
      </c>
      <c r="E185" t="s">
        <v>222</v>
      </c>
      <c r="F185">
        <v>103392</v>
      </c>
      <c r="G185" t="s">
        <v>228</v>
      </c>
      <c r="H185" t="s">
        <v>227</v>
      </c>
      <c r="I185" t="s">
        <v>235</v>
      </c>
      <c r="J185" t="s">
        <v>238</v>
      </c>
      <c r="K185" t="s">
        <v>241</v>
      </c>
      <c r="L185" t="s">
        <v>597</v>
      </c>
      <c r="M185" t="e">
        <f>VLOOKUP(L185,new!L:L,1,0)</f>
        <v>#N/A</v>
      </c>
    </row>
    <row r="186" spans="1:13" x14ac:dyDescent="0.2">
      <c r="A186" t="s">
        <v>195</v>
      </c>
      <c r="B186" t="s">
        <v>214</v>
      </c>
      <c r="C186" t="s">
        <v>218</v>
      </c>
      <c r="D186" t="s">
        <v>212</v>
      </c>
      <c r="E186" t="s">
        <v>218</v>
      </c>
      <c r="F186">
        <v>103825</v>
      </c>
      <c r="G186" t="s">
        <v>230</v>
      </c>
      <c r="H186" t="s">
        <v>232</v>
      </c>
      <c r="I186" t="s">
        <v>235</v>
      </c>
      <c r="J186" t="s">
        <v>238</v>
      </c>
      <c r="K186" t="s">
        <v>243</v>
      </c>
      <c r="L186" t="s">
        <v>598</v>
      </c>
      <c r="M186" t="e">
        <f>VLOOKUP(L186,new!L:L,1,0)</f>
        <v>#N/A</v>
      </c>
    </row>
    <row r="187" spans="1:13" x14ac:dyDescent="0.2">
      <c r="A187" t="s">
        <v>196</v>
      </c>
      <c r="B187" t="s">
        <v>212</v>
      </c>
      <c r="C187" t="s">
        <v>218</v>
      </c>
      <c r="D187" t="s">
        <v>212</v>
      </c>
      <c r="E187" t="s">
        <v>221</v>
      </c>
      <c r="F187">
        <v>103983</v>
      </c>
      <c r="G187" t="s">
        <v>227</v>
      </c>
      <c r="H187" t="s">
        <v>233</v>
      </c>
      <c r="I187" t="s">
        <v>235</v>
      </c>
      <c r="J187" t="s">
        <v>238</v>
      </c>
      <c r="K187" t="s">
        <v>243</v>
      </c>
      <c r="L187" t="s">
        <v>599</v>
      </c>
      <c r="M187" t="e">
        <f>VLOOKUP(L187,new!L:L,1,0)</f>
        <v>#N/A</v>
      </c>
    </row>
    <row r="188" spans="1:13" x14ac:dyDescent="0.2">
      <c r="A188" t="s">
        <v>197</v>
      </c>
      <c r="B188" t="s">
        <v>215</v>
      </c>
      <c r="C188" t="s">
        <v>216</v>
      </c>
      <c r="D188" t="s">
        <v>215</v>
      </c>
      <c r="E188" t="s">
        <v>222</v>
      </c>
      <c r="F188">
        <v>103746</v>
      </c>
      <c r="G188" t="s">
        <v>230</v>
      </c>
      <c r="H188" t="s">
        <v>224</v>
      </c>
      <c r="I188" t="s">
        <v>235</v>
      </c>
      <c r="J188" t="s">
        <v>237</v>
      </c>
      <c r="K188" t="s">
        <v>243</v>
      </c>
      <c r="L188" t="s">
        <v>340</v>
      </c>
      <c r="M188" t="str">
        <f>VLOOKUP(L188,new!L:L,1,0)</f>
        <v>F000187442005442005103746Jonathan_CancrcoAssociate Director250,000</v>
      </c>
    </row>
    <row r="189" spans="1:13" x14ac:dyDescent="0.2">
      <c r="A189" t="s">
        <v>198</v>
      </c>
      <c r="B189" t="s">
        <v>215</v>
      </c>
      <c r="C189" t="s">
        <v>218</v>
      </c>
      <c r="D189" t="s">
        <v>214</v>
      </c>
      <c r="E189" t="s">
        <v>221</v>
      </c>
      <c r="F189">
        <v>102932</v>
      </c>
      <c r="G189" t="s">
        <v>230</v>
      </c>
      <c r="H189" t="s">
        <v>231</v>
      </c>
      <c r="I189" t="s">
        <v>235</v>
      </c>
      <c r="J189" t="s">
        <v>238</v>
      </c>
      <c r="K189" t="s">
        <v>242</v>
      </c>
      <c r="L189" t="s">
        <v>409</v>
      </c>
      <c r="M189" t="str">
        <f>VLOOKUP(L189,new!L:L,1,0)</f>
        <v>F000188442005442003102932Thakkar_AshishManaging Director&gt;1,000,000</v>
      </c>
    </row>
    <row r="190" spans="1:13" x14ac:dyDescent="0.2">
      <c r="A190" t="s">
        <v>199</v>
      </c>
      <c r="B190" t="s">
        <v>212</v>
      </c>
      <c r="C190" t="s">
        <v>219</v>
      </c>
      <c r="D190" t="s">
        <v>214</v>
      </c>
      <c r="E190" t="s">
        <v>223</v>
      </c>
      <c r="F190">
        <v>102790</v>
      </c>
      <c r="G190" t="s">
        <v>224</v>
      </c>
      <c r="H190" t="s">
        <v>225</v>
      </c>
      <c r="I190" t="s">
        <v>235</v>
      </c>
      <c r="J190" t="s">
        <v>236</v>
      </c>
      <c r="K190" t="s">
        <v>240</v>
      </c>
      <c r="L190" t="s">
        <v>600</v>
      </c>
      <c r="M190" t="e">
        <f>VLOOKUP(L190,new!L:L,1,0)</f>
        <v>#N/A</v>
      </c>
    </row>
    <row r="191" spans="1:13" x14ac:dyDescent="0.2">
      <c r="A191" t="s">
        <v>200</v>
      </c>
      <c r="B191" t="s">
        <v>213</v>
      </c>
      <c r="C191" t="s">
        <v>219</v>
      </c>
      <c r="D191" t="s">
        <v>215</v>
      </c>
      <c r="E191" t="s">
        <v>223</v>
      </c>
      <c r="F191">
        <v>103564</v>
      </c>
      <c r="G191" t="s">
        <v>232</v>
      </c>
      <c r="H191" t="s">
        <v>226</v>
      </c>
      <c r="I191" t="s">
        <v>235</v>
      </c>
      <c r="J191" t="s">
        <v>239</v>
      </c>
      <c r="K191" t="s">
        <v>240</v>
      </c>
      <c r="L191" t="s">
        <v>393</v>
      </c>
      <c r="M191" t="str">
        <f>VLOOKUP(L191,new!L:L,1,0)</f>
        <v>F000190442100442005103564Verderaime_JosephPrincipal500,000</v>
      </c>
    </row>
    <row r="192" spans="1:13" x14ac:dyDescent="0.2">
      <c r="A192" t="s">
        <v>201</v>
      </c>
      <c r="B192" t="s">
        <v>213</v>
      </c>
      <c r="C192" t="s">
        <v>219</v>
      </c>
      <c r="D192" t="s">
        <v>212</v>
      </c>
      <c r="E192" t="s">
        <v>218</v>
      </c>
      <c r="F192">
        <v>101083</v>
      </c>
      <c r="G192" t="s">
        <v>234</v>
      </c>
      <c r="H192" t="s">
        <v>233</v>
      </c>
      <c r="I192" t="s">
        <v>235</v>
      </c>
      <c r="J192" t="s">
        <v>238</v>
      </c>
      <c r="K192" t="s">
        <v>243</v>
      </c>
      <c r="L192" t="s">
        <v>414</v>
      </c>
      <c r="M192" t="str">
        <f>VLOOKUP(L192,new!L:L,1,0)</f>
        <v>F000191442100445047101083Dallasykar_AjayManaging Director250,000</v>
      </c>
    </row>
    <row r="193" spans="1:13" x14ac:dyDescent="0.2">
      <c r="A193" t="s">
        <v>202</v>
      </c>
      <c r="B193" t="s">
        <v>211</v>
      </c>
      <c r="C193" t="s">
        <v>219</v>
      </c>
      <c r="D193" t="s">
        <v>214</v>
      </c>
      <c r="E193" t="s">
        <v>222</v>
      </c>
      <c r="F193">
        <v>103937</v>
      </c>
      <c r="G193" t="s">
        <v>234</v>
      </c>
      <c r="H193" t="s">
        <v>227</v>
      </c>
      <c r="I193" t="s">
        <v>235</v>
      </c>
      <c r="J193" t="s">
        <v>239</v>
      </c>
      <c r="K193" t="s">
        <v>243</v>
      </c>
      <c r="L193" t="s">
        <v>410</v>
      </c>
      <c r="M193" t="str">
        <f>VLOOKUP(L193,new!L:L,1,0)</f>
        <v>F000192443045442003103937Parillis_Joseph_AnthonyPrincipal250,000</v>
      </c>
    </row>
    <row r="194" spans="1:13" x14ac:dyDescent="0.2">
      <c r="A194" t="s">
        <v>203</v>
      </c>
      <c r="B194" t="s">
        <v>213</v>
      </c>
      <c r="C194" t="s">
        <v>216</v>
      </c>
      <c r="D194" t="s">
        <v>215</v>
      </c>
      <c r="E194" t="s">
        <v>221</v>
      </c>
      <c r="F194">
        <v>101327</v>
      </c>
      <c r="G194" t="s">
        <v>230</v>
      </c>
      <c r="H194" t="s">
        <v>232</v>
      </c>
      <c r="I194" t="s">
        <v>235</v>
      </c>
      <c r="J194" t="s">
        <v>238</v>
      </c>
      <c r="K194" t="s">
        <v>243</v>
      </c>
      <c r="L194" t="s">
        <v>601</v>
      </c>
      <c r="M194" t="e">
        <f>VLOOKUP(L194,new!L:L,1,0)</f>
        <v>#N/A</v>
      </c>
    </row>
    <row r="195" spans="1:13" x14ac:dyDescent="0.2">
      <c r="A195" t="s">
        <v>204</v>
      </c>
      <c r="B195" t="s">
        <v>212</v>
      </c>
      <c r="C195" t="s">
        <v>218</v>
      </c>
      <c r="D195" t="s">
        <v>215</v>
      </c>
      <c r="E195" t="s">
        <v>222</v>
      </c>
      <c r="F195">
        <v>101644</v>
      </c>
      <c r="G195" t="s">
        <v>226</v>
      </c>
      <c r="H195" t="s">
        <v>228</v>
      </c>
      <c r="I195" t="s">
        <v>235</v>
      </c>
      <c r="J195" t="s">
        <v>237</v>
      </c>
      <c r="K195" t="s">
        <v>241</v>
      </c>
      <c r="L195" t="s">
        <v>602</v>
      </c>
      <c r="M195" t="e">
        <f>VLOOKUP(L195,new!L:L,1,0)</f>
        <v>#N/A</v>
      </c>
    </row>
    <row r="196" spans="1:13" x14ac:dyDescent="0.2">
      <c r="A196" t="s">
        <v>205</v>
      </c>
      <c r="B196" t="s">
        <v>215</v>
      </c>
      <c r="C196" t="s">
        <v>219</v>
      </c>
      <c r="D196" t="s">
        <v>214</v>
      </c>
      <c r="E196" t="s">
        <v>222</v>
      </c>
      <c r="F196">
        <v>101886</v>
      </c>
      <c r="G196" t="s">
        <v>234</v>
      </c>
      <c r="H196" t="s">
        <v>225</v>
      </c>
      <c r="I196" t="s">
        <v>235</v>
      </c>
      <c r="J196" t="s">
        <v>237</v>
      </c>
      <c r="K196" t="s">
        <v>241</v>
      </c>
      <c r="L196" t="s">
        <v>421</v>
      </c>
      <c r="M196" t="str">
        <f>VLOOKUP(L196,new!L:L,1,0)</f>
        <v>F000195442005442003101886Hart_ChristopherAssociate Director100,000</v>
      </c>
    </row>
    <row r="197" spans="1:13" x14ac:dyDescent="0.2">
      <c r="A197" t="s">
        <v>206</v>
      </c>
      <c r="B197" t="s">
        <v>212</v>
      </c>
      <c r="C197" t="s">
        <v>219</v>
      </c>
      <c r="D197" t="s">
        <v>214</v>
      </c>
      <c r="E197" t="s">
        <v>222</v>
      </c>
      <c r="F197">
        <v>102885</v>
      </c>
      <c r="G197" t="s">
        <v>230</v>
      </c>
      <c r="H197" t="s">
        <v>234</v>
      </c>
      <c r="I197" t="s">
        <v>235</v>
      </c>
      <c r="J197" t="s">
        <v>236</v>
      </c>
      <c r="K197" t="s">
        <v>240</v>
      </c>
      <c r="L197" t="s">
        <v>371</v>
      </c>
      <c r="M197" t="str">
        <f>VLOOKUP(L197,new!L:L,1,0)</f>
        <v>F000196445047442003102885Limonpierre_IanDirector500,000</v>
      </c>
    </row>
    <row r="198" spans="1:13" x14ac:dyDescent="0.2">
      <c r="A198" t="s">
        <v>207</v>
      </c>
      <c r="B198" t="s">
        <v>214</v>
      </c>
      <c r="C198" t="s">
        <v>217</v>
      </c>
      <c r="D198" t="s">
        <v>212</v>
      </c>
      <c r="E198" t="s">
        <v>221</v>
      </c>
      <c r="F198">
        <v>103293</v>
      </c>
      <c r="G198" t="s">
        <v>224</v>
      </c>
      <c r="H198" t="s">
        <v>228</v>
      </c>
      <c r="I198" t="s">
        <v>235</v>
      </c>
      <c r="J198" t="s">
        <v>237</v>
      </c>
      <c r="K198" t="s">
        <v>241</v>
      </c>
      <c r="L198" t="s">
        <v>603</v>
      </c>
      <c r="M198" t="e">
        <f>VLOOKUP(L198,new!L:L,1,0)</f>
        <v>#N/A</v>
      </c>
    </row>
    <row r="199" spans="1:13" x14ac:dyDescent="0.2">
      <c r="A199" t="s">
        <v>208</v>
      </c>
      <c r="B199" t="s">
        <v>211</v>
      </c>
      <c r="C199" t="s">
        <v>217</v>
      </c>
      <c r="D199" t="s">
        <v>213</v>
      </c>
      <c r="E199" t="s">
        <v>222</v>
      </c>
      <c r="F199">
        <v>103401</v>
      </c>
      <c r="G199" t="s">
        <v>229</v>
      </c>
      <c r="H199" t="s">
        <v>230</v>
      </c>
      <c r="I199" t="s">
        <v>235</v>
      </c>
      <c r="J199" t="s">
        <v>238</v>
      </c>
      <c r="K199" t="s">
        <v>243</v>
      </c>
      <c r="L199" t="s">
        <v>367</v>
      </c>
      <c r="M199" t="str">
        <f>VLOOKUP(L199,new!L:L,1,0)</f>
        <v>F000198443045442100103401Shinde_AshutoshManaging Director250,000</v>
      </c>
    </row>
    <row r="200" spans="1:13" x14ac:dyDescent="0.2">
      <c r="A200" t="s">
        <v>209</v>
      </c>
      <c r="B200" t="s">
        <v>215</v>
      </c>
      <c r="C200" t="s">
        <v>217</v>
      </c>
      <c r="D200" t="s">
        <v>215</v>
      </c>
      <c r="E200" t="s">
        <v>220</v>
      </c>
      <c r="F200">
        <v>102205</v>
      </c>
      <c r="G200" t="s">
        <v>227</v>
      </c>
      <c r="H200" t="s">
        <v>233</v>
      </c>
      <c r="I200" t="s">
        <v>235</v>
      </c>
      <c r="J200" t="s">
        <v>238</v>
      </c>
      <c r="K200" t="s">
        <v>242</v>
      </c>
      <c r="L200" t="s">
        <v>604</v>
      </c>
      <c r="M200" t="e">
        <f>VLOOKUP(L200,new!L:L,1,0)</f>
        <v>#N/A</v>
      </c>
    </row>
    <row r="201" spans="1:13" x14ac:dyDescent="0.2">
      <c r="A201" t="s">
        <v>210</v>
      </c>
      <c r="B201" t="s">
        <v>215</v>
      </c>
      <c r="C201" t="s">
        <v>216</v>
      </c>
      <c r="D201" t="s">
        <v>212</v>
      </c>
      <c r="E201" t="s">
        <v>221</v>
      </c>
      <c r="F201">
        <v>102481</v>
      </c>
      <c r="G201" t="s">
        <v>233</v>
      </c>
      <c r="H201" t="s">
        <v>234</v>
      </c>
      <c r="I201" t="s">
        <v>235</v>
      </c>
      <c r="J201" t="s">
        <v>239</v>
      </c>
      <c r="K201" t="s">
        <v>240</v>
      </c>
      <c r="L201" t="s">
        <v>605</v>
      </c>
      <c r="M201" t="e">
        <f>VLOOKUP(L201,new!L:L,1,0)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0F23-7063-CA46-9BC3-A2E0057E93A5}">
  <dimension ref="A1:M181"/>
  <sheetViews>
    <sheetView topLeftCell="I1" workbookViewId="0">
      <selection activeCell="M2" sqref="M2"/>
    </sheetView>
  </sheetViews>
  <sheetFormatPr baseColWidth="10" defaultColWidth="8.83203125" defaultRowHeight="15" x14ac:dyDescent="0.2"/>
  <cols>
    <col min="1" max="1" width="8" bestFit="1" customWidth="1"/>
    <col min="3" max="3" width="20.6640625" bestFit="1" customWidth="1"/>
    <col min="4" max="4" width="12.1640625" bestFit="1" customWidth="1"/>
    <col min="5" max="5" width="22.33203125" bestFit="1" customWidth="1"/>
    <col min="6" max="6" width="11" bestFit="1" customWidth="1"/>
    <col min="7" max="7" width="19.83203125" bestFit="1" customWidth="1"/>
    <col min="8" max="8" width="23.5" bestFit="1" customWidth="1"/>
    <col min="10" max="10" width="15.1640625" bestFit="1" customWidth="1"/>
    <col min="11" max="11" width="12.83203125" bestFit="1" customWidth="1"/>
    <col min="12" max="13" width="61.5" bestFit="1" customWidth="1"/>
  </cols>
  <sheetData>
    <row r="1" spans="1:13" x14ac:dyDescent="0.2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3" t="s">
        <v>10</v>
      </c>
      <c r="L1" s="4" t="s">
        <v>324</v>
      </c>
      <c r="M1" s="4" t="s">
        <v>325</v>
      </c>
    </row>
    <row r="2" spans="1:13" x14ac:dyDescent="0.2">
      <c r="A2" t="s">
        <v>106</v>
      </c>
      <c r="B2" t="s">
        <v>214</v>
      </c>
      <c r="C2" t="s">
        <v>218</v>
      </c>
      <c r="D2" t="s">
        <v>211</v>
      </c>
      <c r="E2" t="s">
        <v>222</v>
      </c>
      <c r="F2">
        <v>102065</v>
      </c>
      <c r="G2" t="s">
        <v>229</v>
      </c>
      <c r="H2" t="s">
        <v>231</v>
      </c>
      <c r="I2" t="s">
        <v>235</v>
      </c>
      <c r="J2" t="s">
        <v>237</v>
      </c>
      <c r="K2" t="s">
        <v>242</v>
      </c>
      <c r="L2" t="s">
        <v>326</v>
      </c>
      <c r="M2" t="str">
        <f>VLOOKUP(L2,old!L:L,1,0)</f>
        <v>F000096442003443045102065Thakkar_AshishAssociate Director&gt;1,000,000</v>
      </c>
    </row>
    <row r="3" spans="1:13" x14ac:dyDescent="0.2">
      <c r="A3" t="s">
        <v>26</v>
      </c>
      <c r="B3" t="s">
        <v>215</v>
      </c>
      <c r="C3" t="s">
        <v>216</v>
      </c>
      <c r="D3" t="s">
        <v>215</v>
      </c>
      <c r="E3" t="s">
        <v>220</v>
      </c>
      <c r="F3">
        <v>101858</v>
      </c>
      <c r="G3" t="s">
        <v>231</v>
      </c>
      <c r="H3" t="s">
        <v>234</v>
      </c>
      <c r="I3" t="s">
        <v>235</v>
      </c>
      <c r="J3" t="s">
        <v>236</v>
      </c>
      <c r="K3" t="s">
        <v>242</v>
      </c>
      <c r="L3" t="s">
        <v>327</v>
      </c>
      <c r="M3" t="str">
        <f>VLOOKUP(L3,old!L:L,1,0)</f>
        <v>F000016442005442005101858Limonpierre_IanDirector&gt;1,000,000</v>
      </c>
    </row>
    <row r="4" spans="1:13" x14ac:dyDescent="0.2">
      <c r="A4" t="s">
        <v>41</v>
      </c>
      <c r="B4" t="s">
        <v>215</v>
      </c>
      <c r="C4" t="s">
        <v>218</v>
      </c>
      <c r="D4" t="s">
        <v>213</v>
      </c>
      <c r="E4" t="s">
        <v>221</v>
      </c>
      <c r="F4">
        <v>103340</v>
      </c>
      <c r="G4" t="s">
        <v>226</v>
      </c>
      <c r="H4" t="s">
        <v>229</v>
      </c>
      <c r="I4" t="s">
        <v>235</v>
      </c>
      <c r="J4" t="s">
        <v>236</v>
      </c>
      <c r="K4" t="s">
        <v>241</v>
      </c>
      <c r="L4" t="s">
        <v>328</v>
      </c>
      <c r="M4" t="str">
        <f>VLOOKUP(L4,old!L:L,1,0)</f>
        <v>F000031442005442100103340Gaffney_Jocelyn_KDirector100,000</v>
      </c>
    </row>
    <row r="5" spans="1:13" x14ac:dyDescent="0.2">
      <c r="A5" t="s">
        <v>169</v>
      </c>
      <c r="B5" t="s">
        <v>211</v>
      </c>
      <c r="C5" t="s">
        <v>219</v>
      </c>
      <c r="D5" t="s">
        <v>211</v>
      </c>
      <c r="E5" t="s">
        <v>223</v>
      </c>
      <c r="F5">
        <v>103585</v>
      </c>
      <c r="G5" t="s">
        <v>226</v>
      </c>
      <c r="H5" t="s">
        <v>224</v>
      </c>
      <c r="I5" t="s">
        <v>235</v>
      </c>
      <c r="J5" t="s">
        <v>239</v>
      </c>
      <c r="K5" t="s">
        <v>243</v>
      </c>
      <c r="L5" t="s">
        <v>329</v>
      </c>
      <c r="M5" t="str">
        <f>VLOOKUP(L5,old!L:L,1,0)</f>
        <v>F000159443045443045103585Jonathan_CancrcoPrincipal250,000</v>
      </c>
    </row>
    <row r="6" spans="1:13" x14ac:dyDescent="0.2">
      <c r="A6" t="s">
        <v>139</v>
      </c>
      <c r="B6" t="s">
        <v>215</v>
      </c>
      <c r="C6" t="s">
        <v>216</v>
      </c>
      <c r="D6" t="s">
        <v>212</v>
      </c>
      <c r="E6" t="s">
        <v>220</v>
      </c>
      <c r="F6">
        <v>102137</v>
      </c>
      <c r="G6" t="s">
        <v>234</v>
      </c>
      <c r="H6" t="s">
        <v>233</v>
      </c>
      <c r="I6" t="s">
        <v>235</v>
      </c>
      <c r="J6" t="s">
        <v>239</v>
      </c>
      <c r="K6" t="s">
        <v>242</v>
      </c>
      <c r="L6" t="s">
        <v>330</v>
      </c>
      <c r="M6" t="str">
        <f>VLOOKUP(L6,old!L:L,1,0)</f>
        <v>F000129442005445047102137Dallasykar_AjayPrincipal&gt;1,000,000</v>
      </c>
    </row>
    <row r="7" spans="1:13" x14ac:dyDescent="0.2">
      <c r="A7" t="s">
        <v>126</v>
      </c>
      <c r="B7" t="s">
        <v>213</v>
      </c>
      <c r="C7" t="s">
        <v>217</v>
      </c>
      <c r="D7" t="s">
        <v>211</v>
      </c>
      <c r="E7" t="s">
        <v>218</v>
      </c>
      <c r="F7">
        <v>101872</v>
      </c>
      <c r="G7" t="s">
        <v>229</v>
      </c>
      <c r="H7" t="s">
        <v>229</v>
      </c>
      <c r="I7" t="s">
        <v>235</v>
      </c>
      <c r="J7" t="s">
        <v>239</v>
      </c>
      <c r="K7" t="s">
        <v>243</v>
      </c>
      <c r="L7" t="s">
        <v>331</v>
      </c>
      <c r="M7" t="str">
        <f>VLOOKUP(L7,old!L:L,1,0)</f>
        <v>F000116442100443045101872Gaffney_Jocelyn_KPrincipal250,000</v>
      </c>
    </row>
    <row r="8" spans="1:13" x14ac:dyDescent="0.2">
      <c r="A8" t="s">
        <v>80</v>
      </c>
      <c r="B8" t="s">
        <v>211</v>
      </c>
      <c r="C8" t="s">
        <v>216</v>
      </c>
      <c r="D8" t="s">
        <v>213</v>
      </c>
      <c r="E8" t="s">
        <v>223</v>
      </c>
      <c r="F8">
        <v>103879</v>
      </c>
      <c r="G8" t="s">
        <v>225</v>
      </c>
      <c r="H8" t="s">
        <v>229</v>
      </c>
      <c r="I8" t="s">
        <v>235</v>
      </c>
      <c r="J8" t="s">
        <v>239</v>
      </c>
      <c r="K8" t="s">
        <v>241</v>
      </c>
      <c r="L8" t="s">
        <v>332</v>
      </c>
      <c r="M8" t="str">
        <f>VLOOKUP(L8,old!L:L,1,0)</f>
        <v>F000070443045442100103879Gaffney_Jocelyn_KPrincipal100,000</v>
      </c>
    </row>
    <row r="9" spans="1:13" x14ac:dyDescent="0.2">
      <c r="A9" t="s">
        <v>181</v>
      </c>
      <c r="B9" t="s">
        <v>212</v>
      </c>
      <c r="C9" t="s">
        <v>219</v>
      </c>
      <c r="D9" t="s">
        <v>211</v>
      </c>
      <c r="E9" t="s">
        <v>218</v>
      </c>
      <c r="F9">
        <v>103825</v>
      </c>
      <c r="G9" t="s">
        <v>234</v>
      </c>
      <c r="H9" t="s">
        <v>230</v>
      </c>
      <c r="I9" t="s">
        <v>235</v>
      </c>
      <c r="J9" t="s">
        <v>239</v>
      </c>
      <c r="K9" t="s">
        <v>240</v>
      </c>
      <c r="L9" t="s">
        <v>333</v>
      </c>
      <c r="M9" t="str">
        <f>VLOOKUP(L9,old!L:L,1,0)</f>
        <v>F000171445047443045103825Shinde_AshutoshPrincipal500,000</v>
      </c>
    </row>
    <row r="10" spans="1:13" x14ac:dyDescent="0.2">
      <c r="A10" t="s">
        <v>185</v>
      </c>
      <c r="B10" t="s">
        <v>212</v>
      </c>
      <c r="C10" t="s">
        <v>218</v>
      </c>
      <c r="D10" t="s">
        <v>214</v>
      </c>
      <c r="E10" t="s">
        <v>221</v>
      </c>
      <c r="F10">
        <v>103265</v>
      </c>
      <c r="G10" t="s">
        <v>227</v>
      </c>
      <c r="H10" t="s">
        <v>230</v>
      </c>
      <c r="I10" t="s">
        <v>235</v>
      </c>
      <c r="J10" t="s">
        <v>238</v>
      </c>
      <c r="K10" t="s">
        <v>242</v>
      </c>
      <c r="L10" t="s">
        <v>334</v>
      </c>
      <c r="M10" t="str">
        <f>VLOOKUP(L10,old!L:L,1,0)</f>
        <v>F000175445047442003103265Shinde_AshutoshManaging Director&gt;1,000,000</v>
      </c>
    </row>
    <row r="11" spans="1:13" x14ac:dyDescent="0.2">
      <c r="A11" t="s">
        <v>56</v>
      </c>
      <c r="B11" t="s">
        <v>212</v>
      </c>
      <c r="C11" t="s">
        <v>217</v>
      </c>
      <c r="D11" t="s">
        <v>214</v>
      </c>
      <c r="E11" t="s">
        <v>218</v>
      </c>
      <c r="F11">
        <v>102896</v>
      </c>
      <c r="G11" t="s">
        <v>225</v>
      </c>
      <c r="H11" t="s">
        <v>232</v>
      </c>
      <c r="I11" t="s">
        <v>235</v>
      </c>
      <c r="J11" t="s">
        <v>237</v>
      </c>
      <c r="K11" t="s">
        <v>243</v>
      </c>
      <c r="L11" t="s">
        <v>335</v>
      </c>
      <c r="M11" t="str">
        <f>VLOOKUP(L11,old!L:L,1,0)</f>
        <v>F000046445047442003102896Pinto_Miguel_AnthonyAssociate Director250,000</v>
      </c>
    </row>
    <row r="12" spans="1:13" x14ac:dyDescent="0.2">
      <c r="A12" t="s">
        <v>77</v>
      </c>
      <c r="B12" t="s">
        <v>212</v>
      </c>
      <c r="C12" t="s">
        <v>217</v>
      </c>
      <c r="D12" t="s">
        <v>215</v>
      </c>
      <c r="E12" t="s">
        <v>220</v>
      </c>
      <c r="F12">
        <v>101857</v>
      </c>
      <c r="G12" t="s">
        <v>225</v>
      </c>
      <c r="H12" t="s">
        <v>226</v>
      </c>
      <c r="I12" t="s">
        <v>235</v>
      </c>
      <c r="J12" t="s">
        <v>236</v>
      </c>
      <c r="K12" t="s">
        <v>240</v>
      </c>
      <c r="L12" t="s">
        <v>336</v>
      </c>
      <c r="M12" t="str">
        <f>VLOOKUP(L12,old!L:L,1,0)</f>
        <v>F000067445047442005101857Verderaime_JosephDirector500,000</v>
      </c>
    </row>
    <row r="13" spans="1:13" x14ac:dyDescent="0.2">
      <c r="A13" t="s">
        <v>193</v>
      </c>
      <c r="B13" t="s">
        <v>214</v>
      </c>
      <c r="C13" t="s">
        <v>217</v>
      </c>
      <c r="D13" t="s">
        <v>213</v>
      </c>
      <c r="E13" t="s">
        <v>222</v>
      </c>
      <c r="F13">
        <v>102000</v>
      </c>
      <c r="G13" t="s">
        <v>228</v>
      </c>
      <c r="H13" t="s">
        <v>234</v>
      </c>
      <c r="I13" t="s">
        <v>235</v>
      </c>
      <c r="J13" t="s">
        <v>238</v>
      </c>
      <c r="K13" t="s">
        <v>241</v>
      </c>
      <c r="L13" t="s">
        <v>337</v>
      </c>
      <c r="M13" t="str">
        <f>VLOOKUP(L13,old!L:L,1,0)</f>
        <v>F000183442003442100102000Limonpierre_IanManaging Director100,000</v>
      </c>
    </row>
    <row r="14" spans="1:13" x14ac:dyDescent="0.2">
      <c r="A14" t="s">
        <v>176</v>
      </c>
      <c r="B14" t="s">
        <v>213</v>
      </c>
      <c r="C14" t="s">
        <v>218</v>
      </c>
      <c r="D14" t="s">
        <v>213</v>
      </c>
      <c r="E14" t="s">
        <v>221</v>
      </c>
      <c r="F14">
        <v>102150</v>
      </c>
      <c r="G14" t="s">
        <v>230</v>
      </c>
      <c r="H14" t="s">
        <v>229</v>
      </c>
      <c r="I14" t="s">
        <v>235</v>
      </c>
      <c r="J14" t="s">
        <v>239</v>
      </c>
      <c r="K14" t="s">
        <v>242</v>
      </c>
      <c r="L14" t="s">
        <v>338</v>
      </c>
      <c r="M14" t="str">
        <f>VLOOKUP(L14,old!L:L,1,0)</f>
        <v>F000166442100442100102150Gaffney_Jocelyn_KPrincipal&gt;1,000,000</v>
      </c>
    </row>
    <row r="15" spans="1:13" x14ac:dyDescent="0.2">
      <c r="A15" t="s">
        <v>89</v>
      </c>
      <c r="B15" t="s">
        <v>214</v>
      </c>
      <c r="C15" t="s">
        <v>217</v>
      </c>
      <c r="D15" t="s">
        <v>211</v>
      </c>
      <c r="E15" t="s">
        <v>220</v>
      </c>
      <c r="F15">
        <v>102490</v>
      </c>
      <c r="G15" t="s">
        <v>232</v>
      </c>
      <c r="H15" t="s">
        <v>228</v>
      </c>
      <c r="I15" t="s">
        <v>235</v>
      </c>
      <c r="J15" t="s">
        <v>236</v>
      </c>
      <c r="K15" t="s">
        <v>240</v>
      </c>
      <c r="L15" t="s">
        <v>339</v>
      </c>
      <c r="M15" t="str">
        <f>VLOOKUP(L15,old!L:L,1,0)</f>
        <v>F000079442003443045102490Masud_ShahidDirector500,000</v>
      </c>
    </row>
    <row r="16" spans="1:13" x14ac:dyDescent="0.2">
      <c r="A16" t="s">
        <v>197</v>
      </c>
      <c r="B16" t="s">
        <v>215</v>
      </c>
      <c r="C16" t="s">
        <v>216</v>
      </c>
      <c r="D16" t="s">
        <v>215</v>
      </c>
      <c r="E16" t="s">
        <v>222</v>
      </c>
      <c r="F16">
        <v>103746</v>
      </c>
      <c r="G16" t="s">
        <v>230</v>
      </c>
      <c r="H16" t="s">
        <v>224</v>
      </c>
      <c r="I16" t="s">
        <v>235</v>
      </c>
      <c r="J16" t="s">
        <v>237</v>
      </c>
      <c r="K16" t="s">
        <v>243</v>
      </c>
      <c r="L16" t="s">
        <v>340</v>
      </c>
      <c r="M16" t="str">
        <f>VLOOKUP(L16,old!L:L,1,0)</f>
        <v>F000187442005442005103746Jonathan_CancrcoAssociate Director250,000</v>
      </c>
    </row>
    <row r="17" spans="1:13" x14ac:dyDescent="0.2">
      <c r="A17" t="s">
        <v>188</v>
      </c>
      <c r="B17" t="s">
        <v>214</v>
      </c>
      <c r="C17" t="s">
        <v>216</v>
      </c>
      <c r="D17" t="s">
        <v>215</v>
      </c>
      <c r="E17" t="s">
        <v>223</v>
      </c>
      <c r="F17">
        <v>102769</v>
      </c>
      <c r="G17" t="s">
        <v>231</v>
      </c>
      <c r="H17" t="s">
        <v>228</v>
      </c>
      <c r="I17" t="s">
        <v>235</v>
      </c>
      <c r="J17" t="s">
        <v>238</v>
      </c>
      <c r="K17" t="s">
        <v>242</v>
      </c>
      <c r="L17" t="s">
        <v>341</v>
      </c>
      <c r="M17" t="str">
        <f>VLOOKUP(L17,old!L:L,1,0)</f>
        <v>F000178442003442005102769Masud_ShahidManaging Director&gt;1,000,000</v>
      </c>
    </row>
    <row r="18" spans="1:13" x14ac:dyDescent="0.2">
      <c r="A18" t="s">
        <v>67</v>
      </c>
      <c r="B18" t="s">
        <v>214</v>
      </c>
      <c r="C18" t="s">
        <v>218</v>
      </c>
      <c r="D18" t="s">
        <v>215</v>
      </c>
      <c r="E18" t="s">
        <v>218</v>
      </c>
      <c r="F18">
        <v>102325</v>
      </c>
      <c r="G18" t="s">
        <v>234</v>
      </c>
      <c r="H18" t="s">
        <v>234</v>
      </c>
      <c r="I18" t="s">
        <v>235</v>
      </c>
      <c r="J18" t="s">
        <v>239</v>
      </c>
      <c r="K18" t="s">
        <v>240</v>
      </c>
      <c r="L18" t="s">
        <v>342</v>
      </c>
      <c r="M18" t="str">
        <f>VLOOKUP(L18,old!L:L,1,0)</f>
        <v>F000057442003442005102325Limonpierre_IanPrincipal500,000</v>
      </c>
    </row>
    <row r="19" spans="1:13" x14ac:dyDescent="0.2">
      <c r="A19" t="s">
        <v>163</v>
      </c>
      <c r="B19" t="s">
        <v>211</v>
      </c>
      <c r="C19" t="s">
        <v>219</v>
      </c>
      <c r="D19" t="s">
        <v>214</v>
      </c>
      <c r="E19" t="s">
        <v>222</v>
      </c>
      <c r="F19">
        <v>102102</v>
      </c>
      <c r="G19" t="s">
        <v>232</v>
      </c>
      <c r="H19" t="s">
        <v>224</v>
      </c>
      <c r="I19" t="s">
        <v>235</v>
      </c>
      <c r="J19" t="s">
        <v>238</v>
      </c>
      <c r="K19" t="s">
        <v>243</v>
      </c>
      <c r="L19" t="s">
        <v>343</v>
      </c>
      <c r="M19" t="str">
        <f>VLOOKUP(L19,old!L:L,1,0)</f>
        <v>F000153443045442003102102Jonathan_CancrcoManaging Director250,000</v>
      </c>
    </row>
    <row r="20" spans="1:13" x14ac:dyDescent="0.2">
      <c r="A20" t="s">
        <v>93</v>
      </c>
      <c r="B20" t="s">
        <v>213</v>
      </c>
      <c r="C20" t="s">
        <v>219</v>
      </c>
      <c r="D20" t="s">
        <v>211</v>
      </c>
      <c r="E20" t="s">
        <v>218</v>
      </c>
      <c r="F20">
        <v>102520</v>
      </c>
      <c r="G20" t="s">
        <v>231</v>
      </c>
      <c r="H20" t="s">
        <v>232</v>
      </c>
      <c r="I20" t="s">
        <v>235</v>
      </c>
      <c r="J20" t="s">
        <v>236</v>
      </c>
      <c r="K20" t="s">
        <v>243</v>
      </c>
      <c r="L20" t="s">
        <v>344</v>
      </c>
      <c r="M20" t="str">
        <f>VLOOKUP(L20,old!L:L,1,0)</f>
        <v>F000083442100443045102520Pinto_Miguel_AnthonyDirector250,000</v>
      </c>
    </row>
    <row r="21" spans="1:13" x14ac:dyDescent="0.2">
      <c r="A21" t="s">
        <v>79</v>
      </c>
      <c r="B21" t="s">
        <v>212</v>
      </c>
      <c r="C21" t="s">
        <v>216</v>
      </c>
      <c r="D21" t="s">
        <v>211</v>
      </c>
      <c r="E21" t="s">
        <v>223</v>
      </c>
      <c r="F21">
        <v>101426</v>
      </c>
      <c r="G21" t="s">
        <v>228</v>
      </c>
      <c r="H21" t="s">
        <v>229</v>
      </c>
      <c r="I21" t="s">
        <v>235</v>
      </c>
      <c r="J21" t="s">
        <v>237</v>
      </c>
      <c r="K21" t="s">
        <v>242</v>
      </c>
      <c r="L21" t="s">
        <v>345</v>
      </c>
      <c r="M21" t="str">
        <f>VLOOKUP(L21,old!L:L,1,0)</f>
        <v>F000069445047443045101426Gaffney_Jocelyn_KAssociate Director&gt;1,000,000</v>
      </c>
    </row>
    <row r="22" spans="1:13" x14ac:dyDescent="0.2">
      <c r="A22" t="s">
        <v>135</v>
      </c>
      <c r="B22" t="s">
        <v>211</v>
      </c>
      <c r="C22" t="s">
        <v>218</v>
      </c>
      <c r="D22" t="s">
        <v>212</v>
      </c>
      <c r="E22" t="s">
        <v>221</v>
      </c>
      <c r="F22">
        <v>102125</v>
      </c>
      <c r="G22" t="s">
        <v>227</v>
      </c>
      <c r="H22" t="s">
        <v>224</v>
      </c>
      <c r="I22" t="s">
        <v>235</v>
      </c>
      <c r="J22" t="s">
        <v>238</v>
      </c>
      <c r="K22" t="s">
        <v>241</v>
      </c>
      <c r="L22" t="s">
        <v>346</v>
      </c>
      <c r="M22" t="str">
        <f>VLOOKUP(L22,old!L:L,1,0)</f>
        <v>F000125443045445047102125Jonathan_CancrcoManaging Director100,000</v>
      </c>
    </row>
    <row r="23" spans="1:13" x14ac:dyDescent="0.2">
      <c r="A23" t="s">
        <v>27</v>
      </c>
      <c r="B23" t="s">
        <v>214</v>
      </c>
      <c r="C23" t="s">
        <v>217</v>
      </c>
      <c r="D23" t="s">
        <v>212</v>
      </c>
      <c r="E23" t="s">
        <v>222</v>
      </c>
      <c r="F23">
        <v>102862</v>
      </c>
      <c r="G23" t="s">
        <v>228</v>
      </c>
      <c r="H23" t="s">
        <v>226</v>
      </c>
      <c r="I23" t="s">
        <v>235</v>
      </c>
      <c r="J23" t="s">
        <v>236</v>
      </c>
      <c r="K23" t="s">
        <v>240</v>
      </c>
      <c r="L23" t="s">
        <v>347</v>
      </c>
      <c r="M23" t="str">
        <f>VLOOKUP(L23,old!L:L,1,0)</f>
        <v>F000017442003445047102862Verderaime_JosephDirector500,000</v>
      </c>
    </row>
    <row r="24" spans="1:13" x14ac:dyDescent="0.2">
      <c r="A24" t="s">
        <v>159</v>
      </c>
      <c r="B24" t="s">
        <v>212</v>
      </c>
      <c r="C24" t="s">
        <v>218</v>
      </c>
      <c r="D24" t="s">
        <v>214</v>
      </c>
      <c r="E24" t="s">
        <v>223</v>
      </c>
      <c r="F24">
        <v>101014</v>
      </c>
      <c r="G24" t="s">
        <v>230</v>
      </c>
      <c r="H24" t="s">
        <v>232</v>
      </c>
      <c r="I24" t="s">
        <v>235</v>
      </c>
      <c r="J24" t="s">
        <v>236</v>
      </c>
      <c r="K24" t="s">
        <v>241</v>
      </c>
      <c r="L24" t="s">
        <v>348</v>
      </c>
      <c r="M24" t="str">
        <f>VLOOKUP(L24,old!L:L,1,0)</f>
        <v>F000149445047442003101014Pinto_Miguel_AnthonyDirector100,000</v>
      </c>
    </row>
    <row r="25" spans="1:13" x14ac:dyDescent="0.2">
      <c r="A25" t="s">
        <v>104</v>
      </c>
      <c r="B25" t="s">
        <v>215</v>
      </c>
      <c r="C25" t="s">
        <v>218</v>
      </c>
      <c r="D25" t="s">
        <v>214</v>
      </c>
      <c r="E25" t="s">
        <v>222</v>
      </c>
      <c r="F25">
        <v>102960</v>
      </c>
      <c r="G25" t="s">
        <v>231</v>
      </c>
      <c r="H25" t="s">
        <v>229</v>
      </c>
      <c r="I25" t="s">
        <v>235</v>
      </c>
      <c r="J25" t="s">
        <v>238</v>
      </c>
      <c r="K25" t="s">
        <v>240</v>
      </c>
      <c r="L25" t="s">
        <v>349</v>
      </c>
      <c r="M25" t="str">
        <f>VLOOKUP(L25,old!L:L,1,0)</f>
        <v>F000094442005442003102960Gaffney_Jocelyn_KManaging Director500,000</v>
      </c>
    </row>
    <row r="26" spans="1:13" x14ac:dyDescent="0.2">
      <c r="A26" t="s">
        <v>76</v>
      </c>
      <c r="B26" t="s">
        <v>211</v>
      </c>
      <c r="C26" t="s">
        <v>216</v>
      </c>
      <c r="D26" t="s">
        <v>214</v>
      </c>
      <c r="E26" t="s">
        <v>223</v>
      </c>
      <c r="F26">
        <v>103925</v>
      </c>
      <c r="G26" t="s">
        <v>226</v>
      </c>
      <c r="H26" t="s">
        <v>225</v>
      </c>
      <c r="I26" t="s">
        <v>235</v>
      </c>
      <c r="J26" t="s">
        <v>237</v>
      </c>
      <c r="K26" t="s">
        <v>240</v>
      </c>
      <c r="L26" t="s">
        <v>350</v>
      </c>
      <c r="M26" t="str">
        <f>VLOOKUP(L26,old!L:L,1,0)</f>
        <v>F000066443045442003103925Hart_ChristopherAssociate Director500,000</v>
      </c>
    </row>
    <row r="27" spans="1:13" x14ac:dyDescent="0.2">
      <c r="A27" t="s">
        <v>71</v>
      </c>
      <c r="B27" t="s">
        <v>215</v>
      </c>
      <c r="C27" t="s">
        <v>219</v>
      </c>
      <c r="D27" t="s">
        <v>213</v>
      </c>
      <c r="E27" t="s">
        <v>220</v>
      </c>
      <c r="F27">
        <v>102755</v>
      </c>
      <c r="G27" t="s">
        <v>228</v>
      </c>
      <c r="H27" t="s">
        <v>226</v>
      </c>
      <c r="I27" t="s">
        <v>235</v>
      </c>
      <c r="J27" t="s">
        <v>236</v>
      </c>
      <c r="K27" t="s">
        <v>243</v>
      </c>
      <c r="L27" t="s">
        <v>351</v>
      </c>
      <c r="M27" t="str">
        <f>VLOOKUP(L27,old!L:L,1,0)</f>
        <v>F000061442005442100102755Verderaime_JosephDirector250,000</v>
      </c>
    </row>
    <row r="28" spans="1:13" x14ac:dyDescent="0.2">
      <c r="A28" t="s">
        <v>95</v>
      </c>
      <c r="B28" t="s">
        <v>211</v>
      </c>
      <c r="C28" t="s">
        <v>218</v>
      </c>
      <c r="D28" t="s">
        <v>215</v>
      </c>
      <c r="E28" t="s">
        <v>218</v>
      </c>
      <c r="F28">
        <v>101948</v>
      </c>
      <c r="G28" t="s">
        <v>228</v>
      </c>
      <c r="H28" t="s">
        <v>234</v>
      </c>
      <c r="I28" t="s">
        <v>235</v>
      </c>
      <c r="J28" t="s">
        <v>238</v>
      </c>
      <c r="K28" t="s">
        <v>241</v>
      </c>
      <c r="L28" t="s">
        <v>352</v>
      </c>
      <c r="M28" t="str">
        <f>VLOOKUP(L28,old!L:L,1,0)</f>
        <v>F000085443045442005101948Limonpierre_IanManaging Director100,000</v>
      </c>
    </row>
    <row r="29" spans="1:13" x14ac:dyDescent="0.2">
      <c r="A29" t="s">
        <v>78</v>
      </c>
      <c r="B29" t="s">
        <v>215</v>
      </c>
      <c r="C29" t="s">
        <v>216</v>
      </c>
      <c r="D29" t="s">
        <v>211</v>
      </c>
      <c r="E29" t="s">
        <v>218</v>
      </c>
      <c r="F29">
        <v>103008</v>
      </c>
      <c r="G29" t="s">
        <v>230</v>
      </c>
      <c r="H29" t="s">
        <v>228</v>
      </c>
      <c r="I29" t="s">
        <v>235</v>
      </c>
      <c r="J29" t="s">
        <v>236</v>
      </c>
      <c r="K29" t="s">
        <v>243</v>
      </c>
      <c r="L29" t="s">
        <v>353</v>
      </c>
      <c r="M29" t="str">
        <f>VLOOKUP(L29,old!L:L,1,0)</f>
        <v>F000068442005443045103008Masud_ShahidDirector250,000</v>
      </c>
    </row>
    <row r="30" spans="1:13" x14ac:dyDescent="0.2">
      <c r="A30" t="s">
        <v>136</v>
      </c>
      <c r="B30" t="s">
        <v>211</v>
      </c>
      <c r="C30" t="s">
        <v>216</v>
      </c>
      <c r="D30" t="s">
        <v>214</v>
      </c>
      <c r="E30" t="s">
        <v>222</v>
      </c>
      <c r="F30">
        <v>101064</v>
      </c>
      <c r="G30" t="s">
        <v>228</v>
      </c>
      <c r="H30" t="s">
        <v>224</v>
      </c>
      <c r="I30" t="s">
        <v>235</v>
      </c>
      <c r="J30" t="s">
        <v>237</v>
      </c>
      <c r="K30" t="s">
        <v>243</v>
      </c>
      <c r="L30" t="s">
        <v>354</v>
      </c>
      <c r="M30" t="str">
        <f>VLOOKUP(L30,old!L:L,1,0)</f>
        <v>F000126443045442003101064Jonathan_CancrcoAssociate Director250,000</v>
      </c>
    </row>
    <row r="31" spans="1:13" x14ac:dyDescent="0.2">
      <c r="A31" t="s">
        <v>143</v>
      </c>
      <c r="B31" t="s">
        <v>215</v>
      </c>
      <c r="C31" t="s">
        <v>217</v>
      </c>
      <c r="D31" t="s">
        <v>211</v>
      </c>
      <c r="E31" t="s">
        <v>222</v>
      </c>
      <c r="F31">
        <v>101986</v>
      </c>
      <c r="G31" t="s">
        <v>233</v>
      </c>
      <c r="H31" t="s">
        <v>231</v>
      </c>
      <c r="I31" t="s">
        <v>235</v>
      </c>
      <c r="J31" t="s">
        <v>236</v>
      </c>
      <c r="K31" t="s">
        <v>240</v>
      </c>
      <c r="L31" t="s">
        <v>355</v>
      </c>
      <c r="M31" t="str">
        <f>VLOOKUP(L31,old!L:L,1,0)</f>
        <v>F000133442005443045101986Thakkar_AshishDirector500,000</v>
      </c>
    </row>
    <row r="32" spans="1:13" x14ac:dyDescent="0.2">
      <c r="A32" t="s">
        <v>20</v>
      </c>
      <c r="B32" t="s">
        <v>212</v>
      </c>
      <c r="C32" t="s">
        <v>219</v>
      </c>
      <c r="D32" t="s">
        <v>212</v>
      </c>
      <c r="E32" t="s">
        <v>221</v>
      </c>
      <c r="F32">
        <v>103582</v>
      </c>
      <c r="G32" t="s">
        <v>228</v>
      </c>
      <c r="H32" t="s">
        <v>229</v>
      </c>
      <c r="I32" t="s">
        <v>235</v>
      </c>
      <c r="J32" t="s">
        <v>237</v>
      </c>
      <c r="K32" t="s">
        <v>241</v>
      </c>
      <c r="L32" t="s">
        <v>356</v>
      </c>
      <c r="M32" t="str">
        <f>VLOOKUP(L32,old!L:L,1,0)</f>
        <v>F000010445047445047103582Gaffney_Jocelyn_KAssociate Director100,000</v>
      </c>
    </row>
    <row r="33" spans="1:13" x14ac:dyDescent="0.2">
      <c r="A33" t="s">
        <v>29</v>
      </c>
      <c r="B33" t="s">
        <v>215</v>
      </c>
      <c r="C33" t="s">
        <v>216</v>
      </c>
      <c r="D33" t="s">
        <v>213</v>
      </c>
      <c r="E33" t="s">
        <v>221</v>
      </c>
      <c r="F33">
        <v>103164</v>
      </c>
      <c r="G33" t="s">
        <v>227</v>
      </c>
      <c r="H33" t="s">
        <v>224</v>
      </c>
      <c r="I33" t="s">
        <v>235</v>
      </c>
      <c r="J33" t="s">
        <v>238</v>
      </c>
      <c r="K33" t="s">
        <v>243</v>
      </c>
      <c r="L33" t="s">
        <v>357</v>
      </c>
      <c r="M33" t="str">
        <f>VLOOKUP(L33,old!L:L,1,0)</f>
        <v>F000019442005442100103164Jonathan_CancrcoManaging Director250,000</v>
      </c>
    </row>
    <row r="34" spans="1:13" x14ac:dyDescent="0.2">
      <c r="A34" t="s">
        <v>66</v>
      </c>
      <c r="B34" t="s">
        <v>214</v>
      </c>
      <c r="C34" t="s">
        <v>216</v>
      </c>
      <c r="D34" t="s">
        <v>213</v>
      </c>
      <c r="E34" t="s">
        <v>223</v>
      </c>
      <c r="F34">
        <v>101131</v>
      </c>
      <c r="G34" t="s">
        <v>229</v>
      </c>
      <c r="H34" t="s">
        <v>228</v>
      </c>
      <c r="I34" t="s">
        <v>235</v>
      </c>
      <c r="J34" t="s">
        <v>238</v>
      </c>
      <c r="K34" t="s">
        <v>242</v>
      </c>
      <c r="L34" t="s">
        <v>358</v>
      </c>
      <c r="M34" t="str">
        <f>VLOOKUP(L34,old!L:L,1,0)</f>
        <v>F000056442003442100101131Masud_ShahidManaging Director&gt;1,000,000</v>
      </c>
    </row>
    <row r="35" spans="1:13" x14ac:dyDescent="0.2">
      <c r="A35" t="s">
        <v>86</v>
      </c>
      <c r="B35" t="s">
        <v>213</v>
      </c>
      <c r="C35" t="s">
        <v>216</v>
      </c>
      <c r="D35" t="s">
        <v>212</v>
      </c>
      <c r="E35" t="s">
        <v>218</v>
      </c>
      <c r="F35">
        <v>102657</v>
      </c>
      <c r="G35" t="s">
        <v>224</v>
      </c>
      <c r="H35" t="s">
        <v>233</v>
      </c>
      <c r="I35" t="s">
        <v>235</v>
      </c>
      <c r="J35" t="s">
        <v>236</v>
      </c>
      <c r="K35" t="s">
        <v>242</v>
      </c>
      <c r="L35" t="s">
        <v>359</v>
      </c>
      <c r="M35" t="str">
        <f>VLOOKUP(L35,old!L:L,1,0)</f>
        <v>F000076442100445047102657Dallasykar_AjayDirector&gt;1,000,000</v>
      </c>
    </row>
    <row r="36" spans="1:13" x14ac:dyDescent="0.2">
      <c r="A36" t="s">
        <v>161</v>
      </c>
      <c r="B36" t="s">
        <v>211</v>
      </c>
      <c r="C36" t="s">
        <v>217</v>
      </c>
      <c r="D36" t="s">
        <v>211</v>
      </c>
      <c r="E36" t="s">
        <v>220</v>
      </c>
      <c r="F36">
        <v>103032</v>
      </c>
      <c r="G36" t="s">
        <v>224</v>
      </c>
      <c r="H36" t="s">
        <v>229</v>
      </c>
      <c r="I36" t="s">
        <v>235</v>
      </c>
      <c r="J36" t="s">
        <v>236</v>
      </c>
      <c r="K36" t="s">
        <v>242</v>
      </c>
      <c r="L36" t="s">
        <v>360</v>
      </c>
      <c r="M36" t="str">
        <f>VLOOKUP(L36,old!L:L,1,0)</f>
        <v>F000151443045443045103032Gaffney_Jocelyn_KDirector&gt;1,000,000</v>
      </c>
    </row>
    <row r="37" spans="1:13" x14ac:dyDescent="0.2">
      <c r="A37" t="s">
        <v>115</v>
      </c>
      <c r="B37" t="s">
        <v>211</v>
      </c>
      <c r="C37" t="s">
        <v>219</v>
      </c>
      <c r="D37" t="s">
        <v>211</v>
      </c>
      <c r="E37" t="s">
        <v>223</v>
      </c>
      <c r="F37">
        <v>101854</v>
      </c>
      <c r="G37" t="s">
        <v>234</v>
      </c>
      <c r="H37" t="s">
        <v>228</v>
      </c>
      <c r="I37" t="s">
        <v>235</v>
      </c>
      <c r="J37" t="s">
        <v>237</v>
      </c>
      <c r="K37" t="s">
        <v>242</v>
      </c>
      <c r="L37" t="s">
        <v>361</v>
      </c>
      <c r="M37" t="str">
        <f>VLOOKUP(L37,old!L:L,1,0)</f>
        <v>F000105443045443045101854Masud_ShahidAssociate Director&gt;1,000,000</v>
      </c>
    </row>
    <row r="38" spans="1:13" x14ac:dyDescent="0.2">
      <c r="A38" t="s">
        <v>146</v>
      </c>
      <c r="B38" t="s">
        <v>213</v>
      </c>
      <c r="C38" t="s">
        <v>219</v>
      </c>
      <c r="D38" t="s">
        <v>211</v>
      </c>
      <c r="E38" t="s">
        <v>220</v>
      </c>
      <c r="F38">
        <v>103013</v>
      </c>
      <c r="G38" t="s">
        <v>224</v>
      </c>
      <c r="H38" t="s">
        <v>233</v>
      </c>
      <c r="I38" t="s">
        <v>235</v>
      </c>
      <c r="J38" t="s">
        <v>239</v>
      </c>
      <c r="K38" t="s">
        <v>240</v>
      </c>
      <c r="L38" t="s">
        <v>362</v>
      </c>
      <c r="M38" t="str">
        <f>VLOOKUP(L38,old!L:L,1,0)</f>
        <v>F000136442100443045103013Dallasykar_AjayPrincipal500,000</v>
      </c>
    </row>
    <row r="39" spans="1:13" x14ac:dyDescent="0.2">
      <c r="A39" t="s">
        <v>148</v>
      </c>
      <c r="B39" t="s">
        <v>212</v>
      </c>
      <c r="C39" t="s">
        <v>219</v>
      </c>
      <c r="D39" t="s">
        <v>215</v>
      </c>
      <c r="E39" t="s">
        <v>223</v>
      </c>
      <c r="F39">
        <v>101305</v>
      </c>
      <c r="G39" t="s">
        <v>234</v>
      </c>
      <c r="H39" t="s">
        <v>225</v>
      </c>
      <c r="I39" t="s">
        <v>235</v>
      </c>
      <c r="J39" t="s">
        <v>239</v>
      </c>
      <c r="K39" t="s">
        <v>241</v>
      </c>
      <c r="L39" t="s">
        <v>363</v>
      </c>
      <c r="M39" t="str">
        <f>VLOOKUP(L39,old!L:L,1,0)</f>
        <v>F000138445047442005101305Hart_ChristopherPrincipal100,000</v>
      </c>
    </row>
    <row r="40" spans="1:13" x14ac:dyDescent="0.2">
      <c r="A40" t="s">
        <v>175</v>
      </c>
      <c r="B40" t="s">
        <v>211</v>
      </c>
      <c r="C40" t="s">
        <v>216</v>
      </c>
      <c r="D40" t="s">
        <v>215</v>
      </c>
      <c r="E40" t="s">
        <v>220</v>
      </c>
      <c r="F40">
        <v>102244</v>
      </c>
      <c r="G40" t="s">
        <v>227</v>
      </c>
      <c r="H40" t="s">
        <v>226</v>
      </c>
      <c r="I40" t="s">
        <v>235</v>
      </c>
      <c r="J40" t="s">
        <v>237</v>
      </c>
      <c r="K40" t="s">
        <v>243</v>
      </c>
      <c r="L40" t="s">
        <v>364</v>
      </c>
      <c r="M40" t="str">
        <f>VLOOKUP(L40,old!L:L,1,0)</f>
        <v>F000165443045442005102244Verderaime_JosephAssociate Director250,000</v>
      </c>
    </row>
    <row r="41" spans="1:13" x14ac:dyDescent="0.2">
      <c r="A41" t="s">
        <v>87</v>
      </c>
      <c r="B41" t="s">
        <v>211</v>
      </c>
      <c r="C41" t="s">
        <v>216</v>
      </c>
      <c r="D41" t="s">
        <v>214</v>
      </c>
      <c r="E41" t="s">
        <v>222</v>
      </c>
      <c r="F41">
        <v>102680</v>
      </c>
      <c r="G41" t="s">
        <v>228</v>
      </c>
      <c r="H41" t="s">
        <v>231</v>
      </c>
      <c r="I41" t="s">
        <v>235</v>
      </c>
      <c r="J41" t="s">
        <v>238</v>
      </c>
      <c r="K41" t="s">
        <v>243</v>
      </c>
      <c r="L41" t="s">
        <v>365</v>
      </c>
      <c r="M41" t="str">
        <f>VLOOKUP(L41,old!L:L,1,0)</f>
        <v>F000077443045442003102680Thakkar_AshishManaging Director250,000</v>
      </c>
    </row>
    <row r="42" spans="1:13" x14ac:dyDescent="0.2">
      <c r="A42" t="s">
        <v>90</v>
      </c>
      <c r="B42" t="s">
        <v>214</v>
      </c>
      <c r="C42" t="s">
        <v>216</v>
      </c>
      <c r="D42" t="s">
        <v>213</v>
      </c>
      <c r="E42" t="s">
        <v>223</v>
      </c>
      <c r="F42">
        <v>101630</v>
      </c>
      <c r="G42" t="s">
        <v>233</v>
      </c>
      <c r="H42" t="s">
        <v>224</v>
      </c>
      <c r="I42" t="s">
        <v>235</v>
      </c>
      <c r="J42" t="s">
        <v>236</v>
      </c>
      <c r="K42" t="s">
        <v>242</v>
      </c>
      <c r="L42" t="s">
        <v>366</v>
      </c>
      <c r="M42" t="str">
        <f>VLOOKUP(L42,old!L:L,1,0)</f>
        <v>F000080442003442100101630Jonathan_CancrcoDirector&gt;1,000,000</v>
      </c>
    </row>
    <row r="43" spans="1:13" x14ac:dyDescent="0.2">
      <c r="A43" t="s">
        <v>208</v>
      </c>
      <c r="B43" t="s">
        <v>211</v>
      </c>
      <c r="C43" t="s">
        <v>217</v>
      </c>
      <c r="D43" t="s">
        <v>213</v>
      </c>
      <c r="E43" t="s">
        <v>222</v>
      </c>
      <c r="F43">
        <v>103401</v>
      </c>
      <c r="G43" t="s">
        <v>229</v>
      </c>
      <c r="H43" t="s">
        <v>230</v>
      </c>
      <c r="I43" t="s">
        <v>235</v>
      </c>
      <c r="J43" t="s">
        <v>238</v>
      </c>
      <c r="K43" t="s">
        <v>243</v>
      </c>
      <c r="L43" t="s">
        <v>367</v>
      </c>
      <c r="M43" t="str">
        <f>VLOOKUP(L43,old!L:L,1,0)</f>
        <v>F000198443045442100103401Shinde_AshutoshManaging Director250,000</v>
      </c>
    </row>
    <row r="44" spans="1:13" x14ac:dyDescent="0.2">
      <c r="A44" t="s">
        <v>49</v>
      </c>
      <c r="B44" t="s">
        <v>213</v>
      </c>
      <c r="C44" t="s">
        <v>219</v>
      </c>
      <c r="D44" t="s">
        <v>213</v>
      </c>
      <c r="E44" t="s">
        <v>222</v>
      </c>
      <c r="F44">
        <v>102320</v>
      </c>
      <c r="G44" t="s">
        <v>229</v>
      </c>
      <c r="H44" t="s">
        <v>224</v>
      </c>
      <c r="I44" t="s">
        <v>235</v>
      </c>
      <c r="J44" t="s">
        <v>239</v>
      </c>
      <c r="K44" t="s">
        <v>240</v>
      </c>
      <c r="L44" t="s">
        <v>368</v>
      </c>
      <c r="M44" t="str">
        <f>VLOOKUP(L44,old!L:L,1,0)</f>
        <v>F000039442100442100102320Jonathan_CancrcoPrincipal500,000</v>
      </c>
    </row>
    <row r="45" spans="1:13" x14ac:dyDescent="0.2">
      <c r="A45" t="s">
        <v>35</v>
      </c>
      <c r="B45" t="s">
        <v>212</v>
      </c>
      <c r="C45" t="s">
        <v>218</v>
      </c>
      <c r="D45" t="s">
        <v>215</v>
      </c>
      <c r="E45" t="s">
        <v>221</v>
      </c>
      <c r="F45">
        <v>101270</v>
      </c>
      <c r="G45" t="s">
        <v>225</v>
      </c>
      <c r="H45" t="s">
        <v>225</v>
      </c>
      <c r="I45" t="s">
        <v>235</v>
      </c>
      <c r="J45" t="s">
        <v>236</v>
      </c>
      <c r="K45" t="s">
        <v>242</v>
      </c>
      <c r="L45" t="s">
        <v>369</v>
      </c>
      <c r="M45" t="str">
        <f>VLOOKUP(L45,old!L:L,1,0)</f>
        <v>F000025445047442005101270Hart_ChristopherDirector&gt;1,000,000</v>
      </c>
    </row>
    <row r="46" spans="1:13" x14ac:dyDescent="0.2">
      <c r="A46" t="s">
        <v>133</v>
      </c>
      <c r="B46" t="s">
        <v>215</v>
      </c>
      <c r="C46" t="s">
        <v>219</v>
      </c>
      <c r="D46" t="s">
        <v>211</v>
      </c>
      <c r="E46" t="s">
        <v>220</v>
      </c>
      <c r="F46">
        <v>101925</v>
      </c>
      <c r="G46" t="s">
        <v>225</v>
      </c>
      <c r="H46" t="s">
        <v>234</v>
      </c>
      <c r="I46" t="s">
        <v>235</v>
      </c>
      <c r="J46" t="s">
        <v>239</v>
      </c>
      <c r="K46" t="s">
        <v>240</v>
      </c>
      <c r="L46" t="s">
        <v>370</v>
      </c>
      <c r="M46" t="str">
        <f>VLOOKUP(L46,old!L:L,1,0)</f>
        <v>F000123442005443045101925Limonpierre_IanPrincipal500,000</v>
      </c>
    </row>
    <row r="47" spans="1:13" x14ac:dyDescent="0.2">
      <c r="A47" t="s">
        <v>206</v>
      </c>
      <c r="B47" t="s">
        <v>212</v>
      </c>
      <c r="C47" t="s">
        <v>219</v>
      </c>
      <c r="D47" t="s">
        <v>214</v>
      </c>
      <c r="E47" t="s">
        <v>222</v>
      </c>
      <c r="F47">
        <v>102885</v>
      </c>
      <c r="G47" t="s">
        <v>230</v>
      </c>
      <c r="H47" t="s">
        <v>234</v>
      </c>
      <c r="I47" t="s">
        <v>235</v>
      </c>
      <c r="J47" t="s">
        <v>236</v>
      </c>
      <c r="K47" t="s">
        <v>240</v>
      </c>
      <c r="L47" t="s">
        <v>371</v>
      </c>
      <c r="M47" t="str">
        <f>VLOOKUP(L47,old!L:L,1,0)</f>
        <v>F000196445047442003102885Limonpierre_IanDirector500,000</v>
      </c>
    </row>
    <row r="48" spans="1:13" x14ac:dyDescent="0.2">
      <c r="A48" t="s">
        <v>40</v>
      </c>
      <c r="B48" t="s">
        <v>214</v>
      </c>
      <c r="C48" t="s">
        <v>216</v>
      </c>
      <c r="D48" t="s">
        <v>214</v>
      </c>
      <c r="E48" t="s">
        <v>218</v>
      </c>
      <c r="F48">
        <v>103447</v>
      </c>
      <c r="G48" t="s">
        <v>228</v>
      </c>
      <c r="H48" t="s">
        <v>232</v>
      </c>
      <c r="I48" t="s">
        <v>235</v>
      </c>
      <c r="J48" t="s">
        <v>236</v>
      </c>
      <c r="K48" t="s">
        <v>240</v>
      </c>
      <c r="L48" t="s">
        <v>372</v>
      </c>
      <c r="M48" t="str">
        <f>VLOOKUP(L48,old!L:L,1,0)</f>
        <v>F000030442003442003103447Pinto_Miguel_AnthonyDirector500,000</v>
      </c>
    </row>
    <row r="49" spans="1:13" x14ac:dyDescent="0.2">
      <c r="A49" t="s">
        <v>30</v>
      </c>
      <c r="B49" t="s">
        <v>211</v>
      </c>
      <c r="C49" t="s">
        <v>218</v>
      </c>
      <c r="D49" t="s">
        <v>215</v>
      </c>
      <c r="E49" t="s">
        <v>220</v>
      </c>
      <c r="F49">
        <v>102772</v>
      </c>
      <c r="G49" t="s">
        <v>224</v>
      </c>
      <c r="H49" t="s">
        <v>225</v>
      </c>
      <c r="I49" t="s">
        <v>235</v>
      </c>
      <c r="J49" t="s">
        <v>239</v>
      </c>
      <c r="K49" t="s">
        <v>243</v>
      </c>
      <c r="L49" t="s">
        <v>373</v>
      </c>
      <c r="M49" t="str">
        <f>VLOOKUP(L49,old!L:L,1,0)</f>
        <v>F000020443045442005102772Hart_ChristopherPrincipal250,000</v>
      </c>
    </row>
    <row r="50" spans="1:13" x14ac:dyDescent="0.2">
      <c r="A50" t="s">
        <v>154</v>
      </c>
      <c r="B50" t="s">
        <v>215</v>
      </c>
      <c r="C50" t="s">
        <v>219</v>
      </c>
      <c r="D50" t="s">
        <v>211</v>
      </c>
      <c r="E50" t="s">
        <v>223</v>
      </c>
      <c r="F50">
        <v>103328</v>
      </c>
      <c r="G50" t="s">
        <v>224</v>
      </c>
      <c r="H50" t="s">
        <v>224</v>
      </c>
      <c r="I50" t="s">
        <v>235</v>
      </c>
      <c r="J50" t="s">
        <v>239</v>
      </c>
      <c r="K50" t="s">
        <v>243</v>
      </c>
      <c r="L50" t="s">
        <v>374</v>
      </c>
      <c r="M50" t="str">
        <f>VLOOKUP(L50,old!L:L,1,0)</f>
        <v>F000144442005443045103328Jonathan_CancrcoPrincipal250,000</v>
      </c>
    </row>
    <row r="51" spans="1:13" x14ac:dyDescent="0.2">
      <c r="A51" t="s">
        <v>97</v>
      </c>
      <c r="B51" t="s">
        <v>214</v>
      </c>
      <c r="C51" t="s">
        <v>216</v>
      </c>
      <c r="D51" t="s">
        <v>214</v>
      </c>
      <c r="E51" t="s">
        <v>218</v>
      </c>
      <c r="F51">
        <v>102643</v>
      </c>
      <c r="G51" t="s">
        <v>226</v>
      </c>
      <c r="H51" t="s">
        <v>227</v>
      </c>
      <c r="I51" t="s">
        <v>235</v>
      </c>
      <c r="J51" t="s">
        <v>239</v>
      </c>
      <c r="K51" t="s">
        <v>242</v>
      </c>
      <c r="L51" t="s">
        <v>375</v>
      </c>
      <c r="M51" t="str">
        <f>VLOOKUP(L51,old!L:L,1,0)</f>
        <v>F000087442003442003102643Parillis_Joseph_AnthonyPrincipal&gt;1,000,000</v>
      </c>
    </row>
    <row r="52" spans="1:13" x14ac:dyDescent="0.2">
      <c r="A52" t="s">
        <v>125</v>
      </c>
      <c r="B52" t="s">
        <v>211</v>
      </c>
      <c r="C52" t="s">
        <v>219</v>
      </c>
      <c r="D52" t="s">
        <v>213</v>
      </c>
      <c r="E52" t="s">
        <v>218</v>
      </c>
      <c r="F52">
        <v>101159</v>
      </c>
      <c r="G52" t="s">
        <v>230</v>
      </c>
      <c r="H52" t="s">
        <v>232</v>
      </c>
      <c r="I52" t="s">
        <v>235</v>
      </c>
      <c r="J52" t="s">
        <v>239</v>
      </c>
      <c r="K52" t="s">
        <v>241</v>
      </c>
      <c r="L52" t="s">
        <v>376</v>
      </c>
      <c r="M52" t="str">
        <f>VLOOKUP(L52,old!L:L,1,0)</f>
        <v>F000115443045442100101159Pinto_Miguel_AnthonyPrincipal100,000</v>
      </c>
    </row>
    <row r="53" spans="1:13" x14ac:dyDescent="0.2">
      <c r="A53" t="s">
        <v>184</v>
      </c>
      <c r="B53" t="s">
        <v>213</v>
      </c>
      <c r="C53" t="s">
        <v>217</v>
      </c>
      <c r="D53" t="s">
        <v>212</v>
      </c>
      <c r="E53" t="s">
        <v>223</v>
      </c>
      <c r="F53">
        <v>101097</v>
      </c>
      <c r="G53" t="s">
        <v>230</v>
      </c>
      <c r="H53" t="s">
        <v>228</v>
      </c>
      <c r="I53" t="s">
        <v>235</v>
      </c>
      <c r="J53" t="s">
        <v>237</v>
      </c>
      <c r="K53" t="s">
        <v>243</v>
      </c>
      <c r="L53" t="s">
        <v>377</v>
      </c>
      <c r="M53" t="str">
        <f>VLOOKUP(L53,old!L:L,1,0)</f>
        <v>F000174442100445047101097Masud_ShahidAssociate Director250,000</v>
      </c>
    </row>
    <row r="54" spans="1:13" x14ac:dyDescent="0.2">
      <c r="A54" t="s">
        <v>16</v>
      </c>
      <c r="B54" t="s">
        <v>211</v>
      </c>
      <c r="C54" t="s">
        <v>217</v>
      </c>
      <c r="D54" t="s">
        <v>212</v>
      </c>
      <c r="E54" t="s">
        <v>220</v>
      </c>
      <c r="F54">
        <v>101288</v>
      </c>
      <c r="G54" t="s">
        <v>228</v>
      </c>
      <c r="H54" t="s">
        <v>233</v>
      </c>
      <c r="I54" t="s">
        <v>235</v>
      </c>
      <c r="J54" t="s">
        <v>239</v>
      </c>
      <c r="K54" t="s">
        <v>241</v>
      </c>
      <c r="L54" t="s">
        <v>378</v>
      </c>
      <c r="M54" t="str">
        <f>VLOOKUP(L54,old!L:L,1,0)</f>
        <v>F000006443045445047101288Dallasykar_AjayPrincipal100,000</v>
      </c>
    </row>
    <row r="55" spans="1:13" x14ac:dyDescent="0.2">
      <c r="A55" t="s">
        <v>137</v>
      </c>
      <c r="B55" t="s">
        <v>211</v>
      </c>
      <c r="C55" t="s">
        <v>216</v>
      </c>
      <c r="D55" t="s">
        <v>214</v>
      </c>
      <c r="E55" t="s">
        <v>221</v>
      </c>
      <c r="F55">
        <v>102213</v>
      </c>
      <c r="G55" t="s">
        <v>232</v>
      </c>
      <c r="H55" t="s">
        <v>231</v>
      </c>
      <c r="I55" t="s">
        <v>235</v>
      </c>
      <c r="J55" t="s">
        <v>237</v>
      </c>
      <c r="K55" t="s">
        <v>242</v>
      </c>
      <c r="L55" t="s">
        <v>379</v>
      </c>
      <c r="M55" t="str">
        <f>VLOOKUP(L55,old!L:L,1,0)</f>
        <v>F000127443045442003102213Thakkar_AshishAssociate Director&gt;1,000,000</v>
      </c>
    </row>
    <row r="56" spans="1:13" x14ac:dyDescent="0.2">
      <c r="A56" t="s">
        <v>128</v>
      </c>
      <c r="B56" t="s">
        <v>213</v>
      </c>
      <c r="C56" t="s">
        <v>218</v>
      </c>
      <c r="D56" t="s">
        <v>211</v>
      </c>
      <c r="E56" t="s">
        <v>218</v>
      </c>
      <c r="F56">
        <v>102670</v>
      </c>
      <c r="G56" t="s">
        <v>229</v>
      </c>
      <c r="H56" t="s">
        <v>231</v>
      </c>
      <c r="I56" t="s">
        <v>235</v>
      </c>
      <c r="J56" t="s">
        <v>239</v>
      </c>
      <c r="K56" t="s">
        <v>243</v>
      </c>
      <c r="L56" t="s">
        <v>380</v>
      </c>
      <c r="M56" t="str">
        <f>VLOOKUP(L56,old!L:L,1,0)</f>
        <v>F000118442100443045102670Thakkar_AshishPrincipal250,000</v>
      </c>
    </row>
    <row r="57" spans="1:13" x14ac:dyDescent="0.2">
      <c r="A57" t="s">
        <v>84</v>
      </c>
      <c r="B57" t="s">
        <v>212</v>
      </c>
      <c r="C57" t="s">
        <v>218</v>
      </c>
      <c r="D57" t="s">
        <v>211</v>
      </c>
      <c r="E57" t="s">
        <v>221</v>
      </c>
      <c r="F57">
        <v>103355</v>
      </c>
      <c r="G57" t="s">
        <v>232</v>
      </c>
      <c r="H57" t="s">
        <v>234</v>
      </c>
      <c r="I57" t="s">
        <v>235</v>
      </c>
      <c r="J57" t="s">
        <v>236</v>
      </c>
      <c r="K57" t="s">
        <v>242</v>
      </c>
      <c r="L57" t="s">
        <v>381</v>
      </c>
      <c r="M57" t="str">
        <f>VLOOKUP(L57,old!L:L,1,0)</f>
        <v>F000074445047443045103355Limonpierre_IanDirector&gt;1,000,000</v>
      </c>
    </row>
    <row r="58" spans="1:13" x14ac:dyDescent="0.2">
      <c r="A58" t="s">
        <v>151</v>
      </c>
      <c r="B58" t="s">
        <v>211</v>
      </c>
      <c r="C58" t="s">
        <v>217</v>
      </c>
      <c r="D58" t="s">
        <v>211</v>
      </c>
      <c r="E58" t="s">
        <v>221</v>
      </c>
      <c r="F58">
        <v>103008</v>
      </c>
      <c r="G58" t="s">
        <v>232</v>
      </c>
      <c r="H58" t="s">
        <v>228</v>
      </c>
      <c r="I58" t="s">
        <v>235</v>
      </c>
      <c r="J58" t="s">
        <v>237</v>
      </c>
      <c r="K58" t="s">
        <v>241</v>
      </c>
      <c r="L58" t="s">
        <v>382</v>
      </c>
      <c r="M58" t="str">
        <f>VLOOKUP(L58,old!L:L,1,0)</f>
        <v>F000141443045443045103008Masud_ShahidAssociate Director100,000</v>
      </c>
    </row>
    <row r="59" spans="1:13" x14ac:dyDescent="0.2">
      <c r="A59" t="s">
        <v>109</v>
      </c>
      <c r="B59" t="s">
        <v>213</v>
      </c>
      <c r="C59" t="s">
        <v>216</v>
      </c>
      <c r="D59" t="s">
        <v>215</v>
      </c>
      <c r="E59" t="s">
        <v>223</v>
      </c>
      <c r="F59">
        <v>102759</v>
      </c>
      <c r="G59" t="s">
        <v>232</v>
      </c>
      <c r="H59" t="s">
        <v>228</v>
      </c>
      <c r="I59" t="s">
        <v>235</v>
      </c>
      <c r="J59" t="s">
        <v>239</v>
      </c>
      <c r="K59" t="s">
        <v>240</v>
      </c>
      <c r="L59" t="s">
        <v>383</v>
      </c>
      <c r="M59" t="str">
        <f>VLOOKUP(L59,old!L:L,1,0)</f>
        <v>F000099442100442005102759Masud_ShahidPrincipal500,000</v>
      </c>
    </row>
    <row r="60" spans="1:13" x14ac:dyDescent="0.2">
      <c r="A60" t="s">
        <v>183</v>
      </c>
      <c r="B60" t="s">
        <v>213</v>
      </c>
      <c r="C60" t="s">
        <v>219</v>
      </c>
      <c r="D60" t="s">
        <v>212</v>
      </c>
      <c r="E60" t="s">
        <v>223</v>
      </c>
      <c r="F60">
        <v>102445</v>
      </c>
      <c r="G60" t="s">
        <v>227</v>
      </c>
      <c r="H60" t="s">
        <v>231</v>
      </c>
      <c r="I60" t="s">
        <v>235</v>
      </c>
      <c r="J60" t="s">
        <v>236</v>
      </c>
      <c r="K60" t="s">
        <v>243</v>
      </c>
      <c r="L60" t="s">
        <v>384</v>
      </c>
      <c r="M60" t="str">
        <f>VLOOKUP(L60,old!L:L,1,0)</f>
        <v>F000173442100445047102445Thakkar_AshishDirector250,000</v>
      </c>
    </row>
    <row r="61" spans="1:13" x14ac:dyDescent="0.2">
      <c r="A61" t="s">
        <v>107</v>
      </c>
      <c r="B61" t="s">
        <v>215</v>
      </c>
      <c r="C61" t="s">
        <v>216</v>
      </c>
      <c r="D61" t="s">
        <v>212</v>
      </c>
      <c r="E61" t="s">
        <v>218</v>
      </c>
      <c r="F61">
        <v>102954</v>
      </c>
      <c r="G61" t="s">
        <v>229</v>
      </c>
      <c r="H61" t="s">
        <v>234</v>
      </c>
      <c r="I61" t="s">
        <v>235</v>
      </c>
      <c r="J61" t="s">
        <v>239</v>
      </c>
      <c r="K61" t="s">
        <v>240</v>
      </c>
      <c r="L61" t="s">
        <v>385</v>
      </c>
      <c r="M61" t="str">
        <f>VLOOKUP(L61,old!L:L,1,0)</f>
        <v>F000097442005445047102954Limonpierre_IanPrincipal500,000</v>
      </c>
    </row>
    <row r="62" spans="1:13" x14ac:dyDescent="0.2">
      <c r="A62" t="s">
        <v>180</v>
      </c>
      <c r="B62" t="s">
        <v>214</v>
      </c>
      <c r="C62" t="s">
        <v>216</v>
      </c>
      <c r="D62" t="s">
        <v>212</v>
      </c>
      <c r="E62" t="s">
        <v>220</v>
      </c>
      <c r="F62">
        <v>101345</v>
      </c>
      <c r="G62" t="s">
        <v>233</v>
      </c>
      <c r="H62" t="s">
        <v>230</v>
      </c>
      <c r="I62" t="s">
        <v>235</v>
      </c>
      <c r="J62" t="s">
        <v>237</v>
      </c>
      <c r="K62" t="s">
        <v>243</v>
      </c>
      <c r="L62" t="s">
        <v>386</v>
      </c>
      <c r="M62" t="str">
        <f>VLOOKUP(L62,old!L:L,1,0)</f>
        <v>F000170442003445047101345Shinde_AshutoshAssociate Director250,000</v>
      </c>
    </row>
    <row r="63" spans="1:13" x14ac:dyDescent="0.2">
      <c r="A63" t="s">
        <v>108</v>
      </c>
      <c r="B63" t="s">
        <v>211</v>
      </c>
      <c r="C63" t="s">
        <v>216</v>
      </c>
      <c r="D63" t="s">
        <v>214</v>
      </c>
      <c r="E63" t="s">
        <v>222</v>
      </c>
      <c r="F63">
        <v>102764</v>
      </c>
      <c r="G63" t="s">
        <v>228</v>
      </c>
      <c r="H63" t="s">
        <v>230</v>
      </c>
      <c r="I63" t="s">
        <v>235</v>
      </c>
      <c r="J63" t="s">
        <v>236</v>
      </c>
      <c r="K63" t="s">
        <v>240</v>
      </c>
      <c r="L63" t="s">
        <v>387</v>
      </c>
      <c r="M63" t="str">
        <f>VLOOKUP(L63,old!L:L,1,0)</f>
        <v>F000098443045442003102764Shinde_AshutoshDirector500,000</v>
      </c>
    </row>
    <row r="64" spans="1:13" x14ac:dyDescent="0.2">
      <c r="A64" t="s">
        <v>42</v>
      </c>
      <c r="B64" t="s">
        <v>212</v>
      </c>
      <c r="C64" t="s">
        <v>217</v>
      </c>
      <c r="D64" t="s">
        <v>211</v>
      </c>
      <c r="E64" t="s">
        <v>222</v>
      </c>
      <c r="F64">
        <v>102695</v>
      </c>
      <c r="G64" t="s">
        <v>224</v>
      </c>
      <c r="H64" t="s">
        <v>233</v>
      </c>
      <c r="I64" t="s">
        <v>235</v>
      </c>
      <c r="J64" t="s">
        <v>236</v>
      </c>
      <c r="K64" t="s">
        <v>243</v>
      </c>
      <c r="L64" t="s">
        <v>388</v>
      </c>
      <c r="M64" t="str">
        <f>VLOOKUP(L64,old!L:L,1,0)</f>
        <v>F000032445047443045102695Dallasykar_AjayDirector250,000</v>
      </c>
    </row>
    <row r="65" spans="1:13" x14ac:dyDescent="0.2">
      <c r="A65" t="s">
        <v>23</v>
      </c>
      <c r="B65" t="s">
        <v>213</v>
      </c>
      <c r="C65" t="s">
        <v>216</v>
      </c>
      <c r="D65" t="s">
        <v>211</v>
      </c>
      <c r="E65" t="s">
        <v>218</v>
      </c>
      <c r="F65">
        <v>101553</v>
      </c>
      <c r="G65" t="s">
        <v>224</v>
      </c>
      <c r="H65" t="s">
        <v>227</v>
      </c>
      <c r="I65" t="s">
        <v>235</v>
      </c>
      <c r="J65" t="s">
        <v>237</v>
      </c>
      <c r="K65" t="s">
        <v>243</v>
      </c>
      <c r="L65" t="s">
        <v>389</v>
      </c>
      <c r="M65" t="str">
        <f>VLOOKUP(L65,old!L:L,1,0)</f>
        <v>F000013442100443045101553Parillis_Joseph_AnthonyAssociate Director250,000</v>
      </c>
    </row>
    <row r="66" spans="1:13" x14ac:dyDescent="0.2">
      <c r="A66" t="s">
        <v>46</v>
      </c>
      <c r="B66" t="s">
        <v>213</v>
      </c>
      <c r="C66" t="s">
        <v>217</v>
      </c>
      <c r="D66" t="s">
        <v>214</v>
      </c>
      <c r="E66" t="s">
        <v>222</v>
      </c>
      <c r="F66">
        <v>102134</v>
      </c>
      <c r="G66" t="s">
        <v>227</v>
      </c>
      <c r="H66" t="s">
        <v>227</v>
      </c>
      <c r="I66" t="s">
        <v>235</v>
      </c>
      <c r="J66" t="s">
        <v>237</v>
      </c>
      <c r="K66" t="s">
        <v>243</v>
      </c>
      <c r="L66" t="s">
        <v>390</v>
      </c>
      <c r="M66" t="str">
        <f>VLOOKUP(L66,old!L:L,1,0)</f>
        <v>F000036442100442003102134Parillis_Joseph_AnthonyAssociate Director250,000</v>
      </c>
    </row>
    <row r="67" spans="1:13" x14ac:dyDescent="0.2">
      <c r="A67" t="s">
        <v>130</v>
      </c>
      <c r="B67" t="s">
        <v>212</v>
      </c>
      <c r="C67" t="s">
        <v>219</v>
      </c>
      <c r="D67" t="s">
        <v>214</v>
      </c>
      <c r="E67" t="s">
        <v>223</v>
      </c>
      <c r="F67">
        <v>102080</v>
      </c>
      <c r="G67" t="s">
        <v>228</v>
      </c>
      <c r="H67" t="s">
        <v>227</v>
      </c>
      <c r="I67" t="s">
        <v>235</v>
      </c>
      <c r="J67" t="s">
        <v>239</v>
      </c>
      <c r="K67" t="s">
        <v>240</v>
      </c>
      <c r="L67" t="s">
        <v>391</v>
      </c>
      <c r="M67" t="str">
        <f>VLOOKUP(L67,old!L:L,1,0)</f>
        <v>F000120445047442003102080Parillis_Joseph_AnthonyPrincipal500,000</v>
      </c>
    </row>
    <row r="68" spans="1:13" x14ac:dyDescent="0.2">
      <c r="A68" t="s">
        <v>53</v>
      </c>
      <c r="B68" t="s">
        <v>213</v>
      </c>
      <c r="C68" t="s">
        <v>219</v>
      </c>
      <c r="D68" t="s">
        <v>214</v>
      </c>
      <c r="E68" t="s">
        <v>222</v>
      </c>
      <c r="F68">
        <v>101830</v>
      </c>
      <c r="G68" t="s">
        <v>231</v>
      </c>
      <c r="H68" t="s">
        <v>234</v>
      </c>
      <c r="I68" t="s">
        <v>235</v>
      </c>
      <c r="J68" t="s">
        <v>237</v>
      </c>
      <c r="K68" t="s">
        <v>243</v>
      </c>
      <c r="L68" t="s">
        <v>392</v>
      </c>
      <c r="M68" t="str">
        <f>VLOOKUP(L68,old!L:L,1,0)</f>
        <v>F000043442100442003101830Limonpierre_IanAssociate Director250,000</v>
      </c>
    </row>
    <row r="69" spans="1:13" x14ac:dyDescent="0.2">
      <c r="A69" t="s">
        <v>200</v>
      </c>
      <c r="B69" t="s">
        <v>213</v>
      </c>
      <c r="C69" t="s">
        <v>219</v>
      </c>
      <c r="D69" t="s">
        <v>215</v>
      </c>
      <c r="E69" t="s">
        <v>223</v>
      </c>
      <c r="F69">
        <v>103564</v>
      </c>
      <c r="G69" t="s">
        <v>232</v>
      </c>
      <c r="H69" t="s">
        <v>226</v>
      </c>
      <c r="I69" t="s">
        <v>235</v>
      </c>
      <c r="J69" t="s">
        <v>239</v>
      </c>
      <c r="K69" t="s">
        <v>240</v>
      </c>
      <c r="L69" t="s">
        <v>393</v>
      </c>
      <c r="M69" t="str">
        <f>VLOOKUP(L69,old!L:L,1,0)</f>
        <v>F000190442100442005103564Verderaime_JosephPrincipal500,000</v>
      </c>
    </row>
    <row r="70" spans="1:13" x14ac:dyDescent="0.2">
      <c r="A70" t="s">
        <v>101</v>
      </c>
      <c r="B70" t="s">
        <v>212</v>
      </c>
      <c r="C70" t="s">
        <v>219</v>
      </c>
      <c r="D70" t="s">
        <v>213</v>
      </c>
      <c r="E70" t="s">
        <v>222</v>
      </c>
      <c r="F70">
        <v>102467</v>
      </c>
      <c r="G70" t="s">
        <v>230</v>
      </c>
      <c r="H70" t="s">
        <v>230</v>
      </c>
      <c r="I70" t="s">
        <v>235</v>
      </c>
      <c r="J70" t="s">
        <v>238</v>
      </c>
      <c r="K70" t="s">
        <v>240</v>
      </c>
      <c r="L70" t="s">
        <v>394</v>
      </c>
      <c r="M70" t="str">
        <f>VLOOKUP(L70,old!L:L,1,0)</f>
        <v>F000091445047442100102467Shinde_AshutoshManaging Director500,000</v>
      </c>
    </row>
    <row r="71" spans="1:13" x14ac:dyDescent="0.2">
      <c r="A71" t="s">
        <v>147</v>
      </c>
      <c r="B71" t="s">
        <v>215</v>
      </c>
      <c r="C71" t="s">
        <v>217</v>
      </c>
      <c r="D71" t="s">
        <v>211</v>
      </c>
      <c r="E71" t="s">
        <v>223</v>
      </c>
      <c r="F71">
        <v>101961</v>
      </c>
      <c r="G71" t="s">
        <v>228</v>
      </c>
      <c r="H71" t="s">
        <v>227</v>
      </c>
      <c r="I71" t="s">
        <v>235</v>
      </c>
      <c r="J71" t="s">
        <v>238</v>
      </c>
      <c r="K71" t="s">
        <v>240</v>
      </c>
      <c r="L71" t="s">
        <v>395</v>
      </c>
      <c r="M71" t="str">
        <f>VLOOKUP(L71,old!L:L,1,0)</f>
        <v>F000137442005443045101961Parillis_Joseph_AnthonyManaging Director500,000</v>
      </c>
    </row>
    <row r="72" spans="1:13" x14ac:dyDescent="0.2">
      <c r="A72" t="s">
        <v>62</v>
      </c>
      <c r="B72" t="s">
        <v>214</v>
      </c>
      <c r="C72" t="s">
        <v>218</v>
      </c>
      <c r="D72" t="s">
        <v>214</v>
      </c>
      <c r="E72" t="s">
        <v>221</v>
      </c>
      <c r="F72">
        <v>102169</v>
      </c>
      <c r="G72" t="s">
        <v>229</v>
      </c>
      <c r="H72" t="s">
        <v>226</v>
      </c>
      <c r="I72" t="s">
        <v>235</v>
      </c>
      <c r="J72" t="s">
        <v>237</v>
      </c>
      <c r="K72" t="s">
        <v>242</v>
      </c>
      <c r="L72" t="s">
        <v>396</v>
      </c>
      <c r="M72" t="str">
        <f>VLOOKUP(L72,old!L:L,1,0)</f>
        <v>F000052442003442003102169Verderaime_JosephAssociate Director&gt;1,000,000</v>
      </c>
    </row>
    <row r="73" spans="1:13" x14ac:dyDescent="0.2">
      <c r="A73" t="s">
        <v>138</v>
      </c>
      <c r="B73" t="s">
        <v>215</v>
      </c>
      <c r="C73" t="s">
        <v>217</v>
      </c>
      <c r="D73" t="s">
        <v>212</v>
      </c>
      <c r="E73" t="s">
        <v>221</v>
      </c>
      <c r="F73">
        <v>103636</v>
      </c>
      <c r="G73" t="s">
        <v>231</v>
      </c>
      <c r="H73" t="s">
        <v>228</v>
      </c>
      <c r="I73" t="s">
        <v>235</v>
      </c>
      <c r="J73" t="s">
        <v>237</v>
      </c>
      <c r="K73" t="s">
        <v>240</v>
      </c>
      <c r="L73" t="s">
        <v>397</v>
      </c>
      <c r="M73" t="str">
        <f>VLOOKUP(L73,old!L:L,1,0)</f>
        <v>F000128442005445047103636Masud_ShahidAssociate Director500,000</v>
      </c>
    </row>
    <row r="74" spans="1:13" x14ac:dyDescent="0.2">
      <c r="A74" t="s">
        <v>173</v>
      </c>
      <c r="B74" t="s">
        <v>211</v>
      </c>
      <c r="C74" t="s">
        <v>216</v>
      </c>
      <c r="D74" t="s">
        <v>214</v>
      </c>
      <c r="E74" t="s">
        <v>220</v>
      </c>
      <c r="F74">
        <v>101543</v>
      </c>
      <c r="G74" t="s">
        <v>230</v>
      </c>
      <c r="H74" t="s">
        <v>224</v>
      </c>
      <c r="I74" t="s">
        <v>235</v>
      </c>
      <c r="J74" t="s">
        <v>236</v>
      </c>
      <c r="K74" t="s">
        <v>241</v>
      </c>
      <c r="L74" t="s">
        <v>398</v>
      </c>
      <c r="M74" t="str">
        <f>VLOOKUP(L74,old!L:L,1,0)</f>
        <v>F000163443045442003101543Jonathan_CancrcoDirector100,000</v>
      </c>
    </row>
    <row r="75" spans="1:13" x14ac:dyDescent="0.2">
      <c r="A75" t="s">
        <v>52</v>
      </c>
      <c r="B75" t="s">
        <v>214</v>
      </c>
      <c r="C75" t="s">
        <v>219</v>
      </c>
      <c r="D75" t="s">
        <v>215</v>
      </c>
      <c r="E75" t="s">
        <v>220</v>
      </c>
      <c r="F75">
        <v>101956</v>
      </c>
      <c r="G75" t="s">
        <v>231</v>
      </c>
      <c r="H75" t="s">
        <v>230</v>
      </c>
      <c r="I75" t="s">
        <v>235</v>
      </c>
      <c r="J75" t="s">
        <v>238</v>
      </c>
      <c r="K75" t="s">
        <v>241</v>
      </c>
      <c r="L75" t="s">
        <v>399</v>
      </c>
      <c r="M75" t="str">
        <f>VLOOKUP(L75,old!L:L,1,0)</f>
        <v>F000042442003442005101956Shinde_AshutoshManaging Director100,000</v>
      </c>
    </row>
    <row r="76" spans="1:13" x14ac:dyDescent="0.2">
      <c r="A76" t="s">
        <v>129</v>
      </c>
      <c r="B76" t="s">
        <v>211</v>
      </c>
      <c r="C76" t="s">
        <v>218</v>
      </c>
      <c r="D76" t="s">
        <v>214</v>
      </c>
      <c r="E76" t="s">
        <v>222</v>
      </c>
      <c r="F76">
        <v>103740</v>
      </c>
      <c r="G76" t="s">
        <v>234</v>
      </c>
      <c r="H76" t="s">
        <v>234</v>
      </c>
      <c r="I76" t="s">
        <v>235</v>
      </c>
      <c r="J76" t="s">
        <v>239</v>
      </c>
      <c r="K76" t="s">
        <v>241</v>
      </c>
      <c r="L76" t="s">
        <v>400</v>
      </c>
      <c r="M76" t="str">
        <f>VLOOKUP(L76,old!L:L,1,0)</f>
        <v>F000119443045442003103740Limonpierre_IanPrincipal100,000</v>
      </c>
    </row>
    <row r="77" spans="1:13" x14ac:dyDescent="0.2">
      <c r="A77" t="s">
        <v>124</v>
      </c>
      <c r="B77" t="s">
        <v>211</v>
      </c>
      <c r="C77" t="s">
        <v>219</v>
      </c>
      <c r="D77" t="s">
        <v>214</v>
      </c>
      <c r="E77" t="s">
        <v>222</v>
      </c>
      <c r="F77">
        <v>102457</v>
      </c>
      <c r="G77" t="s">
        <v>229</v>
      </c>
      <c r="H77" t="s">
        <v>234</v>
      </c>
      <c r="I77" t="s">
        <v>235</v>
      </c>
      <c r="J77" t="s">
        <v>238</v>
      </c>
      <c r="K77" t="s">
        <v>242</v>
      </c>
      <c r="L77" t="s">
        <v>401</v>
      </c>
      <c r="M77" t="str">
        <f>VLOOKUP(L77,old!L:L,1,0)</f>
        <v>F000114443045442003102457Limonpierre_IanManaging Director&gt;1,000,000</v>
      </c>
    </row>
    <row r="78" spans="1:13" x14ac:dyDescent="0.2">
      <c r="A78" t="s">
        <v>37</v>
      </c>
      <c r="B78" t="s">
        <v>214</v>
      </c>
      <c r="C78" t="s">
        <v>218</v>
      </c>
      <c r="D78" t="s">
        <v>213</v>
      </c>
      <c r="E78" t="s">
        <v>218</v>
      </c>
      <c r="F78">
        <v>101908</v>
      </c>
      <c r="G78" t="s">
        <v>231</v>
      </c>
      <c r="H78" t="s">
        <v>233</v>
      </c>
      <c r="I78" t="s">
        <v>235</v>
      </c>
      <c r="J78" t="s">
        <v>239</v>
      </c>
      <c r="K78" t="s">
        <v>243</v>
      </c>
      <c r="L78" t="s">
        <v>402</v>
      </c>
      <c r="M78" t="str">
        <f>VLOOKUP(L78,old!L:L,1,0)</f>
        <v>F000027442003442100101908Dallasykar_AjayPrincipal250,000</v>
      </c>
    </row>
    <row r="79" spans="1:13" x14ac:dyDescent="0.2">
      <c r="A79" t="s">
        <v>150</v>
      </c>
      <c r="B79" t="s">
        <v>212</v>
      </c>
      <c r="C79" t="s">
        <v>219</v>
      </c>
      <c r="D79" t="s">
        <v>211</v>
      </c>
      <c r="E79" t="s">
        <v>222</v>
      </c>
      <c r="F79">
        <v>101067</v>
      </c>
      <c r="G79" t="s">
        <v>226</v>
      </c>
      <c r="H79" t="s">
        <v>233</v>
      </c>
      <c r="I79" t="s">
        <v>235</v>
      </c>
      <c r="J79" t="s">
        <v>239</v>
      </c>
      <c r="K79" t="s">
        <v>242</v>
      </c>
      <c r="L79" t="s">
        <v>403</v>
      </c>
      <c r="M79" t="str">
        <f>VLOOKUP(L79,old!L:L,1,0)</f>
        <v>F000140445047443045101067Dallasykar_AjayPrincipal&gt;1,000,000</v>
      </c>
    </row>
    <row r="80" spans="1:13" x14ac:dyDescent="0.2">
      <c r="A80" t="s">
        <v>111</v>
      </c>
      <c r="B80" t="s">
        <v>215</v>
      </c>
      <c r="C80" t="s">
        <v>217</v>
      </c>
      <c r="D80" t="s">
        <v>213</v>
      </c>
      <c r="E80" t="s">
        <v>222</v>
      </c>
      <c r="F80">
        <v>103163</v>
      </c>
      <c r="G80" t="s">
        <v>231</v>
      </c>
      <c r="H80" t="s">
        <v>226</v>
      </c>
      <c r="I80" t="s">
        <v>235</v>
      </c>
      <c r="J80" t="s">
        <v>238</v>
      </c>
      <c r="K80" t="s">
        <v>242</v>
      </c>
      <c r="L80" t="s">
        <v>404</v>
      </c>
      <c r="M80" t="str">
        <f>VLOOKUP(L80,old!L:L,1,0)</f>
        <v>F000101442005442100103163Verderaime_JosephManaging Director&gt;1,000,000</v>
      </c>
    </row>
    <row r="81" spans="1:13" x14ac:dyDescent="0.2">
      <c r="A81" t="s">
        <v>122</v>
      </c>
      <c r="B81" t="s">
        <v>214</v>
      </c>
      <c r="C81" t="s">
        <v>216</v>
      </c>
      <c r="D81" t="s">
        <v>211</v>
      </c>
      <c r="E81" t="s">
        <v>223</v>
      </c>
      <c r="F81">
        <v>103369</v>
      </c>
      <c r="G81" t="s">
        <v>225</v>
      </c>
      <c r="H81" t="s">
        <v>233</v>
      </c>
      <c r="I81" t="s">
        <v>235</v>
      </c>
      <c r="J81" t="s">
        <v>237</v>
      </c>
      <c r="K81" t="s">
        <v>240</v>
      </c>
      <c r="L81" t="s">
        <v>405</v>
      </c>
      <c r="M81" t="str">
        <f>VLOOKUP(L81,old!L:L,1,0)</f>
        <v>F000112442003443045103369Dallasykar_AjayAssociate Director500,000</v>
      </c>
    </row>
    <row r="82" spans="1:13" x14ac:dyDescent="0.2">
      <c r="A82" t="s">
        <v>13</v>
      </c>
      <c r="B82" t="s">
        <v>211</v>
      </c>
      <c r="C82" t="s">
        <v>217</v>
      </c>
      <c r="D82" t="s">
        <v>215</v>
      </c>
      <c r="E82" t="s">
        <v>221</v>
      </c>
      <c r="F82">
        <v>103322</v>
      </c>
      <c r="G82" t="s">
        <v>226</v>
      </c>
      <c r="H82" t="s">
        <v>227</v>
      </c>
      <c r="I82" t="s">
        <v>235</v>
      </c>
      <c r="J82" t="s">
        <v>238</v>
      </c>
      <c r="K82" t="s">
        <v>242</v>
      </c>
      <c r="L82" t="s">
        <v>406</v>
      </c>
      <c r="M82" t="str">
        <f>VLOOKUP(L82,old!L:L,1,0)</f>
        <v>F000003443045442005103322Parillis_Joseph_AnthonyManaging Director&gt;1,000,000</v>
      </c>
    </row>
    <row r="83" spans="1:13" x14ac:dyDescent="0.2">
      <c r="A83" t="s">
        <v>88</v>
      </c>
      <c r="B83" t="s">
        <v>212</v>
      </c>
      <c r="C83" t="s">
        <v>216</v>
      </c>
      <c r="D83" t="s">
        <v>211</v>
      </c>
      <c r="E83" t="s">
        <v>221</v>
      </c>
      <c r="F83">
        <v>101519</v>
      </c>
      <c r="G83" t="s">
        <v>229</v>
      </c>
      <c r="H83" t="s">
        <v>226</v>
      </c>
      <c r="I83" t="s">
        <v>235</v>
      </c>
      <c r="J83" t="s">
        <v>236</v>
      </c>
      <c r="K83" t="s">
        <v>240</v>
      </c>
      <c r="L83" t="s">
        <v>407</v>
      </c>
      <c r="M83" t="str">
        <f>VLOOKUP(L83,old!L:L,1,0)</f>
        <v>F000078445047443045101519Verderaime_JosephDirector500,000</v>
      </c>
    </row>
    <row r="84" spans="1:13" x14ac:dyDescent="0.2">
      <c r="A84" t="s">
        <v>57</v>
      </c>
      <c r="B84" t="s">
        <v>213</v>
      </c>
      <c r="C84" t="s">
        <v>217</v>
      </c>
      <c r="D84" t="s">
        <v>211</v>
      </c>
      <c r="E84" t="s">
        <v>218</v>
      </c>
      <c r="F84">
        <v>103368</v>
      </c>
      <c r="G84" t="s">
        <v>225</v>
      </c>
      <c r="H84" t="s">
        <v>228</v>
      </c>
      <c r="I84" t="s">
        <v>235</v>
      </c>
      <c r="J84" t="s">
        <v>237</v>
      </c>
      <c r="K84" t="s">
        <v>243</v>
      </c>
      <c r="L84" t="s">
        <v>408</v>
      </c>
      <c r="M84" t="str">
        <f>VLOOKUP(L84,old!L:L,1,0)</f>
        <v>F000047442100443045103368Masud_ShahidAssociate Director250,000</v>
      </c>
    </row>
    <row r="85" spans="1:13" x14ac:dyDescent="0.2">
      <c r="A85" t="s">
        <v>198</v>
      </c>
      <c r="B85" t="s">
        <v>215</v>
      </c>
      <c r="C85" t="s">
        <v>218</v>
      </c>
      <c r="D85" t="s">
        <v>214</v>
      </c>
      <c r="E85" t="s">
        <v>221</v>
      </c>
      <c r="F85">
        <v>102932</v>
      </c>
      <c r="G85" t="s">
        <v>230</v>
      </c>
      <c r="H85" t="s">
        <v>231</v>
      </c>
      <c r="I85" t="s">
        <v>235</v>
      </c>
      <c r="J85" t="s">
        <v>238</v>
      </c>
      <c r="K85" t="s">
        <v>242</v>
      </c>
      <c r="L85" t="s">
        <v>409</v>
      </c>
      <c r="M85" t="str">
        <f>VLOOKUP(L85,old!L:L,1,0)</f>
        <v>F000188442005442003102932Thakkar_AshishManaging Director&gt;1,000,000</v>
      </c>
    </row>
    <row r="86" spans="1:13" x14ac:dyDescent="0.2">
      <c r="A86" t="s">
        <v>202</v>
      </c>
      <c r="B86" t="s">
        <v>211</v>
      </c>
      <c r="C86" t="s">
        <v>219</v>
      </c>
      <c r="D86" t="s">
        <v>214</v>
      </c>
      <c r="E86" t="s">
        <v>222</v>
      </c>
      <c r="F86">
        <v>103937</v>
      </c>
      <c r="G86" t="s">
        <v>234</v>
      </c>
      <c r="H86" t="s">
        <v>227</v>
      </c>
      <c r="I86" t="s">
        <v>235</v>
      </c>
      <c r="J86" t="s">
        <v>239</v>
      </c>
      <c r="K86" t="s">
        <v>243</v>
      </c>
      <c r="L86" t="s">
        <v>410</v>
      </c>
      <c r="M86" t="str">
        <f>VLOOKUP(L86,old!L:L,1,0)</f>
        <v>F000192443045442003103937Parillis_Joseph_AnthonyPrincipal250,000</v>
      </c>
    </row>
    <row r="87" spans="1:13" x14ac:dyDescent="0.2">
      <c r="A87" t="s">
        <v>96</v>
      </c>
      <c r="B87" t="s">
        <v>212</v>
      </c>
      <c r="C87" t="s">
        <v>216</v>
      </c>
      <c r="D87" t="s">
        <v>214</v>
      </c>
      <c r="E87" t="s">
        <v>220</v>
      </c>
      <c r="F87">
        <v>101973</v>
      </c>
      <c r="G87" t="s">
        <v>224</v>
      </c>
      <c r="H87" t="s">
        <v>225</v>
      </c>
      <c r="I87" t="s">
        <v>235</v>
      </c>
      <c r="J87" t="s">
        <v>236</v>
      </c>
      <c r="K87" t="s">
        <v>240</v>
      </c>
      <c r="L87" t="s">
        <v>411</v>
      </c>
      <c r="M87" t="str">
        <f>VLOOKUP(L87,old!L:L,1,0)</f>
        <v>F000086445047442003101973Hart_ChristopherDirector500,000</v>
      </c>
    </row>
    <row r="88" spans="1:13" x14ac:dyDescent="0.2">
      <c r="A88" t="s">
        <v>172</v>
      </c>
      <c r="B88" t="s">
        <v>215</v>
      </c>
      <c r="C88" t="s">
        <v>218</v>
      </c>
      <c r="D88" t="s">
        <v>211</v>
      </c>
      <c r="E88" t="s">
        <v>223</v>
      </c>
      <c r="F88">
        <v>102256</v>
      </c>
      <c r="G88" t="s">
        <v>233</v>
      </c>
      <c r="H88" t="s">
        <v>231</v>
      </c>
      <c r="I88" t="s">
        <v>235</v>
      </c>
      <c r="J88" t="s">
        <v>238</v>
      </c>
      <c r="K88" t="s">
        <v>241</v>
      </c>
      <c r="L88" t="s">
        <v>412</v>
      </c>
      <c r="M88" t="str">
        <f>VLOOKUP(L88,old!L:L,1,0)</f>
        <v>F000162442005443045102256Thakkar_AshishManaging Director100,000</v>
      </c>
    </row>
    <row r="89" spans="1:13" x14ac:dyDescent="0.2">
      <c r="A89" t="s">
        <v>47</v>
      </c>
      <c r="B89" t="s">
        <v>214</v>
      </c>
      <c r="C89" t="s">
        <v>217</v>
      </c>
      <c r="D89" t="s">
        <v>212</v>
      </c>
      <c r="E89" t="s">
        <v>220</v>
      </c>
      <c r="F89">
        <v>102672</v>
      </c>
      <c r="G89" t="s">
        <v>225</v>
      </c>
      <c r="H89" t="s">
        <v>225</v>
      </c>
      <c r="I89" t="s">
        <v>235</v>
      </c>
      <c r="J89" t="s">
        <v>238</v>
      </c>
      <c r="K89" t="s">
        <v>240</v>
      </c>
      <c r="L89" t="s">
        <v>413</v>
      </c>
      <c r="M89" t="str">
        <f>VLOOKUP(L89,old!L:L,1,0)</f>
        <v>F000037442003445047102672Hart_ChristopherManaging Director500,000</v>
      </c>
    </row>
    <row r="90" spans="1:13" x14ac:dyDescent="0.2">
      <c r="A90" t="s">
        <v>201</v>
      </c>
      <c r="B90" t="s">
        <v>213</v>
      </c>
      <c r="C90" t="s">
        <v>219</v>
      </c>
      <c r="D90" t="s">
        <v>212</v>
      </c>
      <c r="E90" t="s">
        <v>218</v>
      </c>
      <c r="F90">
        <v>101083</v>
      </c>
      <c r="G90" t="s">
        <v>234</v>
      </c>
      <c r="H90" t="s">
        <v>233</v>
      </c>
      <c r="I90" t="s">
        <v>235</v>
      </c>
      <c r="J90" t="s">
        <v>238</v>
      </c>
      <c r="K90" t="s">
        <v>243</v>
      </c>
      <c r="L90" t="s">
        <v>414</v>
      </c>
      <c r="M90" t="str">
        <f>VLOOKUP(L90,old!L:L,1,0)</f>
        <v>F000191442100445047101083Dallasykar_AjayManaging Director250,000</v>
      </c>
    </row>
    <row r="91" spans="1:13" x14ac:dyDescent="0.2">
      <c r="A91" t="s">
        <v>72</v>
      </c>
      <c r="B91" t="s">
        <v>211</v>
      </c>
      <c r="C91" t="s">
        <v>217</v>
      </c>
      <c r="D91" t="s">
        <v>214</v>
      </c>
      <c r="E91" t="s">
        <v>221</v>
      </c>
      <c r="F91">
        <v>103827</v>
      </c>
      <c r="G91" t="s">
        <v>232</v>
      </c>
      <c r="H91" t="s">
        <v>233</v>
      </c>
      <c r="I91" t="s">
        <v>235</v>
      </c>
      <c r="J91" t="s">
        <v>237</v>
      </c>
      <c r="K91" t="s">
        <v>242</v>
      </c>
      <c r="L91" t="s">
        <v>415</v>
      </c>
      <c r="M91" t="str">
        <f>VLOOKUP(L91,old!L:L,1,0)</f>
        <v>F000062443045442003103827Dallasykar_AjayAssociate Director&gt;1,000,000</v>
      </c>
    </row>
    <row r="92" spans="1:13" x14ac:dyDescent="0.2">
      <c r="A92" t="s">
        <v>33</v>
      </c>
      <c r="B92" t="s">
        <v>214</v>
      </c>
      <c r="C92" t="s">
        <v>216</v>
      </c>
      <c r="D92" t="s">
        <v>213</v>
      </c>
      <c r="E92" t="s">
        <v>223</v>
      </c>
      <c r="F92">
        <v>103190</v>
      </c>
      <c r="G92" t="s">
        <v>227</v>
      </c>
      <c r="H92" t="s">
        <v>227</v>
      </c>
      <c r="I92" t="s">
        <v>235</v>
      </c>
      <c r="J92" t="s">
        <v>237</v>
      </c>
      <c r="K92" t="s">
        <v>242</v>
      </c>
      <c r="L92" t="s">
        <v>416</v>
      </c>
      <c r="M92" t="str">
        <f>VLOOKUP(L92,old!L:L,1,0)</f>
        <v>F000023442003442100103190Parillis_Joseph_AnthonyAssociate Director&gt;1,000,000</v>
      </c>
    </row>
    <row r="93" spans="1:13" x14ac:dyDescent="0.2">
      <c r="A93" t="s">
        <v>152</v>
      </c>
      <c r="B93" t="s">
        <v>212</v>
      </c>
      <c r="C93" t="s">
        <v>219</v>
      </c>
      <c r="D93" t="s">
        <v>211</v>
      </c>
      <c r="E93" t="s">
        <v>222</v>
      </c>
      <c r="F93">
        <v>101895</v>
      </c>
      <c r="G93" t="s">
        <v>224</v>
      </c>
      <c r="H93" t="s">
        <v>227</v>
      </c>
      <c r="I93" t="s">
        <v>235</v>
      </c>
      <c r="J93" t="s">
        <v>237</v>
      </c>
      <c r="K93" t="s">
        <v>240</v>
      </c>
      <c r="L93" t="s">
        <v>417</v>
      </c>
      <c r="M93" t="str">
        <f>VLOOKUP(L93,old!L:L,1,0)</f>
        <v>F000142445047443045101895Parillis_Joseph_AnthonyAssociate Director500,000</v>
      </c>
    </row>
    <row r="94" spans="1:13" x14ac:dyDescent="0.2">
      <c r="A94" t="s">
        <v>112</v>
      </c>
      <c r="B94" t="s">
        <v>213</v>
      </c>
      <c r="C94" t="s">
        <v>218</v>
      </c>
      <c r="D94" t="s">
        <v>212</v>
      </c>
      <c r="E94" t="s">
        <v>220</v>
      </c>
      <c r="F94">
        <v>103835</v>
      </c>
      <c r="G94" t="s">
        <v>225</v>
      </c>
      <c r="H94" t="s">
        <v>230</v>
      </c>
      <c r="I94" t="s">
        <v>235</v>
      </c>
      <c r="J94" t="s">
        <v>238</v>
      </c>
      <c r="K94" t="s">
        <v>243</v>
      </c>
      <c r="L94" t="s">
        <v>418</v>
      </c>
      <c r="M94" t="str">
        <f>VLOOKUP(L94,old!L:L,1,0)</f>
        <v>F000102442100445047103835Shinde_AshutoshManaging Director250,000</v>
      </c>
    </row>
    <row r="95" spans="1:13" x14ac:dyDescent="0.2">
      <c r="A95" t="s">
        <v>44</v>
      </c>
      <c r="B95" t="s">
        <v>211</v>
      </c>
      <c r="C95" t="s">
        <v>216</v>
      </c>
      <c r="D95" t="s">
        <v>213</v>
      </c>
      <c r="E95" t="s">
        <v>221</v>
      </c>
      <c r="F95">
        <v>102849</v>
      </c>
      <c r="G95" t="s">
        <v>227</v>
      </c>
      <c r="H95" t="s">
        <v>230</v>
      </c>
      <c r="I95" t="s">
        <v>235</v>
      </c>
      <c r="J95" t="s">
        <v>238</v>
      </c>
      <c r="K95" t="s">
        <v>241</v>
      </c>
      <c r="L95" t="s">
        <v>419</v>
      </c>
      <c r="M95" t="str">
        <f>VLOOKUP(L95,old!L:L,1,0)</f>
        <v>F000034443045442100102849Shinde_AshutoshManaging Director100,000</v>
      </c>
    </row>
    <row r="96" spans="1:13" x14ac:dyDescent="0.2">
      <c r="A96" t="s">
        <v>22</v>
      </c>
      <c r="B96" t="s">
        <v>213</v>
      </c>
      <c r="C96" t="s">
        <v>217</v>
      </c>
      <c r="D96" t="s">
        <v>212</v>
      </c>
      <c r="E96" t="s">
        <v>220</v>
      </c>
      <c r="F96">
        <v>101723</v>
      </c>
      <c r="G96" t="s">
        <v>230</v>
      </c>
      <c r="H96" t="s">
        <v>226</v>
      </c>
      <c r="I96" t="s">
        <v>235</v>
      </c>
      <c r="J96" t="s">
        <v>237</v>
      </c>
      <c r="K96" t="s">
        <v>241</v>
      </c>
      <c r="L96" t="s">
        <v>420</v>
      </c>
      <c r="M96" t="str">
        <f>VLOOKUP(L96,old!L:L,1,0)</f>
        <v>F000012442100445047101723Verderaime_JosephAssociate Director100,000</v>
      </c>
    </row>
    <row r="97" spans="1:13" x14ac:dyDescent="0.2">
      <c r="A97" t="s">
        <v>205</v>
      </c>
      <c r="B97" t="s">
        <v>215</v>
      </c>
      <c r="C97" t="s">
        <v>219</v>
      </c>
      <c r="D97" t="s">
        <v>214</v>
      </c>
      <c r="E97" t="s">
        <v>222</v>
      </c>
      <c r="F97">
        <v>101886</v>
      </c>
      <c r="G97" t="s">
        <v>234</v>
      </c>
      <c r="H97" t="s">
        <v>225</v>
      </c>
      <c r="I97" t="s">
        <v>235</v>
      </c>
      <c r="J97" t="s">
        <v>237</v>
      </c>
      <c r="K97" t="s">
        <v>241</v>
      </c>
      <c r="L97" t="s">
        <v>421</v>
      </c>
      <c r="M97" t="str">
        <f>VLOOKUP(L97,old!L:L,1,0)</f>
        <v>F000195442005442003101886Hart_ChristopherAssociate Director100,000</v>
      </c>
    </row>
    <row r="98" spans="1:13" x14ac:dyDescent="0.2">
      <c r="A98" t="s">
        <v>170</v>
      </c>
      <c r="B98" t="s">
        <v>211</v>
      </c>
      <c r="C98" t="s">
        <v>217</v>
      </c>
      <c r="D98" t="s">
        <v>211</v>
      </c>
      <c r="E98" t="s">
        <v>221</v>
      </c>
      <c r="F98">
        <v>101379</v>
      </c>
      <c r="G98" t="s">
        <v>227</v>
      </c>
      <c r="H98" t="s">
        <v>227</v>
      </c>
      <c r="I98" t="s">
        <v>235</v>
      </c>
      <c r="J98" t="s">
        <v>238</v>
      </c>
      <c r="K98" t="s">
        <v>241</v>
      </c>
      <c r="L98" t="s">
        <v>422</v>
      </c>
      <c r="M98" t="str">
        <f>VLOOKUP(L98,old!L:L,1,0)</f>
        <v>F000160443045443045101379Parillis_Joseph_AnthonyManaging Director100,000</v>
      </c>
    </row>
    <row r="99" spans="1:13" x14ac:dyDescent="0.2">
      <c r="A99" t="s">
        <v>17</v>
      </c>
      <c r="B99" t="s">
        <v>211</v>
      </c>
      <c r="C99" t="s">
        <v>218</v>
      </c>
      <c r="D99" t="s">
        <v>211</v>
      </c>
      <c r="E99" t="s">
        <v>220</v>
      </c>
      <c r="F99">
        <v>101559</v>
      </c>
      <c r="G99" t="s">
        <v>224</v>
      </c>
      <c r="H99" t="s">
        <v>230</v>
      </c>
      <c r="I99" t="s">
        <v>235</v>
      </c>
      <c r="J99" t="s">
        <v>238</v>
      </c>
      <c r="K99" t="s">
        <v>241</v>
      </c>
      <c r="L99" t="s">
        <v>423</v>
      </c>
      <c r="M99" t="str">
        <f>VLOOKUP(L99,old!L:L,1,0)</f>
        <v>F000007443045443045101559Shinde_AshutoshManaging Director100,000</v>
      </c>
    </row>
    <row r="100" spans="1:13" x14ac:dyDescent="0.2">
      <c r="A100" t="s">
        <v>38</v>
      </c>
      <c r="B100" t="s">
        <v>214</v>
      </c>
      <c r="C100" t="s">
        <v>219</v>
      </c>
      <c r="D100" t="s">
        <v>213</v>
      </c>
      <c r="E100" t="s">
        <v>223</v>
      </c>
      <c r="F100">
        <v>101925</v>
      </c>
      <c r="G100" t="s">
        <v>224</v>
      </c>
      <c r="H100" t="s">
        <v>228</v>
      </c>
      <c r="I100" t="s">
        <v>235</v>
      </c>
      <c r="J100" t="s">
        <v>239</v>
      </c>
      <c r="K100" t="s">
        <v>241</v>
      </c>
      <c r="L100" t="s">
        <v>424</v>
      </c>
      <c r="M100" t="str">
        <f>VLOOKUP(L100,old!L:L,1,0)</f>
        <v>F000028442003442100101925Masud_ShahidPrincipal100,000</v>
      </c>
    </row>
    <row r="101" spans="1:13" x14ac:dyDescent="0.2">
      <c r="A101" t="s">
        <v>131</v>
      </c>
      <c r="B101" t="s">
        <v>212</v>
      </c>
      <c r="C101" t="s">
        <v>217</v>
      </c>
      <c r="D101" t="s">
        <v>211</v>
      </c>
      <c r="E101" t="s">
        <v>218</v>
      </c>
      <c r="F101">
        <v>103693</v>
      </c>
      <c r="G101" t="s">
        <v>226</v>
      </c>
      <c r="H101" t="s">
        <v>232</v>
      </c>
      <c r="I101" t="s">
        <v>235</v>
      </c>
      <c r="J101" t="s">
        <v>238</v>
      </c>
      <c r="K101" t="s">
        <v>243</v>
      </c>
      <c r="L101" t="s">
        <v>425</v>
      </c>
      <c r="M101" t="str">
        <f>VLOOKUP(L101,old!L:L,1,0)</f>
        <v>F000121445047443045103693Pinto_Miguel_AnthonyManaging Director250,000</v>
      </c>
    </row>
    <row r="102" spans="1:13" x14ac:dyDescent="0.2">
      <c r="A102" t="s">
        <v>244</v>
      </c>
      <c r="B102" t="s">
        <v>212</v>
      </c>
      <c r="C102" t="s">
        <v>216</v>
      </c>
      <c r="D102" t="s">
        <v>215</v>
      </c>
      <c r="E102" t="s">
        <v>221</v>
      </c>
      <c r="F102">
        <v>101605</v>
      </c>
      <c r="G102" t="s">
        <v>234</v>
      </c>
      <c r="H102" t="s">
        <v>229</v>
      </c>
      <c r="I102" t="s">
        <v>235</v>
      </c>
      <c r="J102" t="s">
        <v>238</v>
      </c>
      <c r="K102" t="s">
        <v>243</v>
      </c>
      <c r="L102" t="s">
        <v>426</v>
      </c>
      <c r="M102" t="e">
        <f>VLOOKUP(L102,old!L:L,1,0)</f>
        <v>#N/A</v>
      </c>
    </row>
    <row r="103" spans="1:13" x14ac:dyDescent="0.2">
      <c r="A103" t="s">
        <v>245</v>
      </c>
      <c r="B103" t="s">
        <v>215</v>
      </c>
      <c r="C103" t="s">
        <v>216</v>
      </c>
      <c r="D103" t="s">
        <v>214</v>
      </c>
      <c r="E103" t="s">
        <v>222</v>
      </c>
      <c r="F103">
        <v>103202</v>
      </c>
      <c r="G103" t="s">
        <v>232</v>
      </c>
      <c r="H103" t="s">
        <v>229</v>
      </c>
      <c r="I103" t="s">
        <v>235</v>
      </c>
      <c r="J103" t="s">
        <v>239</v>
      </c>
      <c r="K103" t="s">
        <v>240</v>
      </c>
      <c r="L103" t="s">
        <v>427</v>
      </c>
      <c r="M103" t="e">
        <f>VLOOKUP(L103,old!L:L,1,0)</f>
        <v>#N/A</v>
      </c>
    </row>
    <row r="104" spans="1:13" x14ac:dyDescent="0.2">
      <c r="A104" t="s">
        <v>246</v>
      </c>
      <c r="B104" t="s">
        <v>215</v>
      </c>
      <c r="C104" t="s">
        <v>219</v>
      </c>
      <c r="D104" t="s">
        <v>213</v>
      </c>
      <c r="E104" t="s">
        <v>223</v>
      </c>
      <c r="F104">
        <v>101603</v>
      </c>
      <c r="G104" t="s">
        <v>232</v>
      </c>
      <c r="H104" t="s">
        <v>231</v>
      </c>
      <c r="I104" t="s">
        <v>235</v>
      </c>
      <c r="J104" t="s">
        <v>237</v>
      </c>
      <c r="K104" t="s">
        <v>240</v>
      </c>
      <c r="L104" t="s">
        <v>428</v>
      </c>
      <c r="M104" t="e">
        <f>VLOOKUP(L104,old!L:L,1,0)</f>
        <v>#N/A</v>
      </c>
    </row>
    <row r="105" spans="1:13" x14ac:dyDescent="0.2">
      <c r="A105" t="s">
        <v>247</v>
      </c>
      <c r="B105" t="s">
        <v>215</v>
      </c>
      <c r="C105" t="s">
        <v>218</v>
      </c>
      <c r="D105" t="s">
        <v>215</v>
      </c>
      <c r="E105" t="s">
        <v>222</v>
      </c>
      <c r="F105">
        <v>103468</v>
      </c>
      <c r="G105" t="s">
        <v>234</v>
      </c>
      <c r="H105" t="s">
        <v>227</v>
      </c>
      <c r="I105" t="s">
        <v>235</v>
      </c>
      <c r="J105" t="s">
        <v>236</v>
      </c>
      <c r="K105" t="s">
        <v>243</v>
      </c>
      <c r="L105" t="s">
        <v>429</v>
      </c>
      <c r="M105" t="e">
        <f>VLOOKUP(L105,old!L:L,1,0)</f>
        <v>#N/A</v>
      </c>
    </row>
    <row r="106" spans="1:13" x14ac:dyDescent="0.2">
      <c r="A106" t="s">
        <v>248</v>
      </c>
      <c r="B106" t="s">
        <v>211</v>
      </c>
      <c r="C106" t="s">
        <v>216</v>
      </c>
      <c r="D106" t="s">
        <v>213</v>
      </c>
      <c r="E106" t="s">
        <v>218</v>
      </c>
      <c r="F106">
        <v>103667</v>
      </c>
      <c r="G106" t="s">
        <v>226</v>
      </c>
      <c r="H106" t="s">
        <v>232</v>
      </c>
      <c r="I106" t="s">
        <v>235</v>
      </c>
      <c r="J106" t="s">
        <v>238</v>
      </c>
      <c r="K106" t="s">
        <v>242</v>
      </c>
      <c r="L106" t="s">
        <v>430</v>
      </c>
      <c r="M106" t="e">
        <f>VLOOKUP(L106,old!L:L,1,0)</f>
        <v>#N/A</v>
      </c>
    </row>
    <row r="107" spans="1:13" x14ac:dyDescent="0.2">
      <c r="A107" t="s">
        <v>249</v>
      </c>
      <c r="B107" t="s">
        <v>215</v>
      </c>
      <c r="C107" t="s">
        <v>216</v>
      </c>
      <c r="D107" t="s">
        <v>213</v>
      </c>
      <c r="E107" t="s">
        <v>223</v>
      </c>
      <c r="F107">
        <v>102835</v>
      </c>
      <c r="G107" t="s">
        <v>234</v>
      </c>
      <c r="H107" t="s">
        <v>231</v>
      </c>
      <c r="I107" t="s">
        <v>235</v>
      </c>
      <c r="J107" t="s">
        <v>237</v>
      </c>
      <c r="K107" t="s">
        <v>241</v>
      </c>
      <c r="L107" t="s">
        <v>431</v>
      </c>
      <c r="M107" t="e">
        <f>VLOOKUP(L107,old!L:L,1,0)</f>
        <v>#N/A</v>
      </c>
    </row>
    <row r="108" spans="1:13" x14ac:dyDescent="0.2">
      <c r="A108" t="s">
        <v>250</v>
      </c>
      <c r="B108" t="s">
        <v>211</v>
      </c>
      <c r="C108" t="s">
        <v>217</v>
      </c>
      <c r="D108" t="s">
        <v>215</v>
      </c>
      <c r="E108" t="s">
        <v>222</v>
      </c>
      <c r="F108">
        <v>101021</v>
      </c>
      <c r="G108" t="s">
        <v>229</v>
      </c>
      <c r="H108" t="s">
        <v>224</v>
      </c>
      <c r="I108" t="s">
        <v>235</v>
      </c>
      <c r="J108" t="s">
        <v>236</v>
      </c>
      <c r="K108" t="s">
        <v>242</v>
      </c>
      <c r="L108" t="s">
        <v>432</v>
      </c>
      <c r="M108" t="e">
        <f>VLOOKUP(L108,old!L:L,1,0)</f>
        <v>#N/A</v>
      </c>
    </row>
    <row r="109" spans="1:13" x14ac:dyDescent="0.2">
      <c r="A109" t="s">
        <v>251</v>
      </c>
      <c r="B109" t="s">
        <v>212</v>
      </c>
      <c r="C109" t="s">
        <v>216</v>
      </c>
      <c r="D109" t="s">
        <v>211</v>
      </c>
      <c r="E109" t="s">
        <v>223</v>
      </c>
      <c r="F109">
        <v>103364</v>
      </c>
      <c r="G109" t="s">
        <v>228</v>
      </c>
      <c r="H109" t="s">
        <v>226</v>
      </c>
      <c r="I109" t="s">
        <v>235</v>
      </c>
      <c r="J109" t="s">
        <v>238</v>
      </c>
      <c r="K109" t="s">
        <v>243</v>
      </c>
      <c r="L109" t="s">
        <v>433</v>
      </c>
      <c r="M109" t="e">
        <f>VLOOKUP(L109,old!L:L,1,0)</f>
        <v>#N/A</v>
      </c>
    </row>
    <row r="110" spans="1:13" x14ac:dyDescent="0.2">
      <c r="A110" t="s">
        <v>252</v>
      </c>
      <c r="B110" t="s">
        <v>212</v>
      </c>
      <c r="C110" t="s">
        <v>218</v>
      </c>
      <c r="D110" t="s">
        <v>211</v>
      </c>
      <c r="E110" t="s">
        <v>220</v>
      </c>
      <c r="F110">
        <v>102854</v>
      </c>
      <c r="G110" t="s">
        <v>227</v>
      </c>
      <c r="H110" t="s">
        <v>226</v>
      </c>
      <c r="I110" t="s">
        <v>235</v>
      </c>
      <c r="J110" t="s">
        <v>239</v>
      </c>
      <c r="K110" t="s">
        <v>241</v>
      </c>
      <c r="L110" t="s">
        <v>434</v>
      </c>
      <c r="M110" t="e">
        <f>VLOOKUP(L110,old!L:L,1,0)</f>
        <v>#N/A</v>
      </c>
    </row>
    <row r="111" spans="1:13" x14ac:dyDescent="0.2">
      <c r="A111" t="s">
        <v>253</v>
      </c>
      <c r="B111" t="s">
        <v>215</v>
      </c>
      <c r="C111" t="s">
        <v>219</v>
      </c>
      <c r="D111" t="s">
        <v>214</v>
      </c>
      <c r="E111" t="s">
        <v>220</v>
      </c>
      <c r="F111">
        <v>103393</v>
      </c>
      <c r="G111" t="s">
        <v>231</v>
      </c>
      <c r="H111" t="s">
        <v>234</v>
      </c>
      <c r="I111" t="s">
        <v>235</v>
      </c>
      <c r="J111" t="s">
        <v>239</v>
      </c>
      <c r="K111" t="s">
        <v>243</v>
      </c>
      <c r="L111" t="s">
        <v>435</v>
      </c>
      <c r="M111" t="e">
        <f>VLOOKUP(L111,old!L:L,1,0)</f>
        <v>#N/A</v>
      </c>
    </row>
    <row r="112" spans="1:13" x14ac:dyDescent="0.2">
      <c r="A112" t="s">
        <v>254</v>
      </c>
      <c r="B112" t="s">
        <v>214</v>
      </c>
      <c r="C112" t="s">
        <v>219</v>
      </c>
      <c r="D112" t="s">
        <v>214</v>
      </c>
      <c r="E112" t="s">
        <v>223</v>
      </c>
      <c r="F112">
        <v>102931</v>
      </c>
      <c r="G112" t="s">
        <v>225</v>
      </c>
      <c r="H112" t="s">
        <v>234</v>
      </c>
      <c r="I112" t="s">
        <v>235</v>
      </c>
      <c r="J112" t="s">
        <v>239</v>
      </c>
      <c r="K112" t="s">
        <v>243</v>
      </c>
      <c r="L112" t="s">
        <v>436</v>
      </c>
      <c r="M112" t="e">
        <f>VLOOKUP(L112,old!L:L,1,0)</f>
        <v>#N/A</v>
      </c>
    </row>
    <row r="113" spans="1:13" x14ac:dyDescent="0.2">
      <c r="A113" t="s">
        <v>255</v>
      </c>
      <c r="B113" t="s">
        <v>215</v>
      </c>
      <c r="C113" t="s">
        <v>218</v>
      </c>
      <c r="D113" t="s">
        <v>213</v>
      </c>
      <c r="E113" t="s">
        <v>221</v>
      </c>
      <c r="F113">
        <v>102647</v>
      </c>
      <c r="G113" t="s">
        <v>232</v>
      </c>
      <c r="H113" t="s">
        <v>231</v>
      </c>
      <c r="I113" t="s">
        <v>235</v>
      </c>
      <c r="J113" t="s">
        <v>236</v>
      </c>
      <c r="K113" t="s">
        <v>240</v>
      </c>
      <c r="L113" t="s">
        <v>437</v>
      </c>
      <c r="M113" t="e">
        <f>VLOOKUP(L113,old!L:L,1,0)</f>
        <v>#N/A</v>
      </c>
    </row>
    <row r="114" spans="1:13" x14ac:dyDescent="0.2">
      <c r="A114" t="s">
        <v>256</v>
      </c>
      <c r="B114" t="s">
        <v>214</v>
      </c>
      <c r="C114" t="s">
        <v>216</v>
      </c>
      <c r="D114" t="s">
        <v>212</v>
      </c>
      <c r="E114" t="s">
        <v>218</v>
      </c>
      <c r="F114">
        <v>102491</v>
      </c>
      <c r="G114" t="s">
        <v>232</v>
      </c>
      <c r="H114" t="s">
        <v>226</v>
      </c>
      <c r="I114" t="s">
        <v>235</v>
      </c>
      <c r="J114" t="s">
        <v>236</v>
      </c>
      <c r="K114" t="s">
        <v>243</v>
      </c>
      <c r="L114" t="s">
        <v>438</v>
      </c>
      <c r="M114" t="e">
        <f>VLOOKUP(L114,old!L:L,1,0)</f>
        <v>#N/A</v>
      </c>
    </row>
    <row r="115" spans="1:13" x14ac:dyDescent="0.2">
      <c r="A115" t="s">
        <v>257</v>
      </c>
      <c r="B115" t="s">
        <v>214</v>
      </c>
      <c r="C115" t="s">
        <v>218</v>
      </c>
      <c r="D115" t="s">
        <v>215</v>
      </c>
      <c r="E115" t="s">
        <v>218</v>
      </c>
      <c r="F115">
        <v>102676</v>
      </c>
      <c r="G115" t="s">
        <v>233</v>
      </c>
      <c r="H115" t="s">
        <v>230</v>
      </c>
      <c r="I115" t="s">
        <v>235</v>
      </c>
      <c r="J115" t="s">
        <v>238</v>
      </c>
      <c r="K115" t="s">
        <v>240</v>
      </c>
      <c r="L115" t="s">
        <v>439</v>
      </c>
      <c r="M115" t="e">
        <f>VLOOKUP(L115,old!L:L,1,0)</f>
        <v>#N/A</v>
      </c>
    </row>
    <row r="116" spans="1:13" x14ac:dyDescent="0.2">
      <c r="A116" t="s">
        <v>258</v>
      </c>
      <c r="B116" t="s">
        <v>212</v>
      </c>
      <c r="C116" t="s">
        <v>219</v>
      </c>
      <c r="D116" t="s">
        <v>213</v>
      </c>
      <c r="E116" t="s">
        <v>223</v>
      </c>
      <c r="F116">
        <v>101340</v>
      </c>
      <c r="G116" t="s">
        <v>226</v>
      </c>
      <c r="H116" t="s">
        <v>224</v>
      </c>
      <c r="I116" t="s">
        <v>235</v>
      </c>
      <c r="J116" t="s">
        <v>238</v>
      </c>
      <c r="K116" t="s">
        <v>240</v>
      </c>
      <c r="L116" t="s">
        <v>440</v>
      </c>
      <c r="M116" t="e">
        <f>VLOOKUP(L116,old!L:L,1,0)</f>
        <v>#N/A</v>
      </c>
    </row>
    <row r="117" spans="1:13" x14ac:dyDescent="0.2">
      <c r="A117" t="s">
        <v>259</v>
      </c>
      <c r="B117" t="s">
        <v>212</v>
      </c>
      <c r="C117" t="s">
        <v>218</v>
      </c>
      <c r="D117" t="s">
        <v>215</v>
      </c>
      <c r="E117" t="s">
        <v>223</v>
      </c>
      <c r="F117">
        <v>102684</v>
      </c>
      <c r="G117" t="s">
        <v>229</v>
      </c>
      <c r="H117" t="s">
        <v>227</v>
      </c>
      <c r="I117" t="s">
        <v>235</v>
      </c>
      <c r="J117" t="s">
        <v>236</v>
      </c>
      <c r="K117" t="s">
        <v>243</v>
      </c>
      <c r="L117" t="s">
        <v>441</v>
      </c>
      <c r="M117" t="e">
        <f>VLOOKUP(L117,old!L:L,1,0)</f>
        <v>#N/A</v>
      </c>
    </row>
    <row r="118" spans="1:13" x14ac:dyDescent="0.2">
      <c r="A118" t="s">
        <v>260</v>
      </c>
      <c r="B118" t="s">
        <v>212</v>
      </c>
      <c r="C118" t="s">
        <v>217</v>
      </c>
      <c r="D118" t="s">
        <v>215</v>
      </c>
      <c r="E118" t="s">
        <v>218</v>
      </c>
      <c r="F118">
        <v>102905</v>
      </c>
      <c r="G118" t="s">
        <v>228</v>
      </c>
      <c r="H118" t="s">
        <v>232</v>
      </c>
      <c r="I118" t="s">
        <v>235</v>
      </c>
      <c r="J118" t="s">
        <v>238</v>
      </c>
      <c r="K118" t="s">
        <v>240</v>
      </c>
      <c r="L118" t="s">
        <v>442</v>
      </c>
      <c r="M118" t="e">
        <f>VLOOKUP(L118,old!L:L,1,0)</f>
        <v>#N/A</v>
      </c>
    </row>
    <row r="119" spans="1:13" x14ac:dyDescent="0.2">
      <c r="A119" t="s">
        <v>261</v>
      </c>
      <c r="B119" t="s">
        <v>212</v>
      </c>
      <c r="C119" t="s">
        <v>217</v>
      </c>
      <c r="D119" t="s">
        <v>213</v>
      </c>
      <c r="E119" t="s">
        <v>221</v>
      </c>
      <c r="F119">
        <v>103195</v>
      </c>
      <c r="G119" t="s">
        <v>225</v>
      </c>
      <c r="H119" t="s">
        <v>231</v>
      </c>
      <c r="I119" t="s">
        <v>235</v>
      </c>
      <c r="J119" t="s">
        <v>238</v>
      </c>
      <c r="K119" t="s">
        <v>243</v>
      </c>
      <c r="L119" t="s">
        <v>443</v>
      </c>
      <c r="M119" t="e">
        <f>VLOOKUP(L119,old!L:L,1,0)</f>
        <v>#N/A</v>
      </c>
    </row>
    <row r="120" spans="1:13" x14ac:dyDescent="0.2">
      <c r="A120" t="s">
        <v>262</v>
      </c>
      <c r="B120" t="s">
        <v>213</v>
      </c>
      <c r="C120" t="s">
        <v>218</v>
      </c>
      <c r="D120" t="s">
        <v>211</v>
      </c>
      <c r="E120" t="s">
        <v>221</v>
      </c>
      <c r="F120">
        <v>103787</v>
      </c>
      <c r="G120" t="s">
        <v>233</v>
      </c>
      <c r="H120" t="s">
        <v>226</v>
      </c>
      <c r="I120" t="s">
        <v>235</v>
      </c>
      <c r="J120" t="s">
        <v>237</v>
      </c>
      <c r="K120" t="s">
        <v>242</v>
      </c>
      <c r="L120" t="s">
        <v>444</v>
      </c>
      <c r="M120" t="e">
        <f>VLOOKUP(L120,old!L:L,1,0)</f>
        <v>#N/A</v>
      </c>
    </row>
    <row r="121" spans="1:13" x14ac:dyDescent="0.2">
      <c r="A121" t="s">
        <v>263</v>
      </c>
      <c r="B121" t="s">
        <v>215</v>
      </c>
      <c r="C121" t="s">
        <v>219</v>
      </c>
      <c r="D121" t="s">
        <v>214</v>
      </c>
      <c r="E121" t="s">
        <v>223</v>
      </c>
      <c r="F121">
        <v>102089</v>
      </c>
      <c r="G121" t="s">
        <v>230</v>
      </c>
      <c r="H121" t="s">
        <v>231</v>
      </c>
      <c r="I121" t="s">
        <v>235</v>
      </c>
      <c r="J121" t="s">
        <v>238</v>
      </c>
      <c r="K121" t="s">
        <v>240</v>
      </c>
      <c r="L121" t="s">
        <v>445</v>
      </c>
      <c r="M121" t="e">
        <f>VLOOKUP(L121,old!L:L,1,0)</f>
        <v>#N/A</v>
      </c>
    </row>
    <row r="122" spans="1:13" x14ac:dyDescent="0.2">
      <c r="A122" t="s">
        <v>264</v>
      </c>
      <c r="B122" t="s">
        <v>211</v>
      </c>
      <c r="C122" t="s">
        <v>219</v>
      </c>
      <c r="D122" t="s">
        <v>211</v>
      </c>
      <c r="E122" t="s">
        <v>221</v>
      </c>
      <c r="F122">
        <v>101870</v>
      </c>
      <c r="G122" t="s">
        <v>234</v>
      </c>
      <c r="H122" t="s">
        <v>228</v>
      </c>
      <c r="I122" t="s">
        <v>235</v>
      </c>
      <c r="J122" t="s">
        <v>237</v>
      </c>
      <c r="K122" t="s">
        <v>243</v>
      </c>
      <c r="L122" t="s">
        <v>446</v>
      </c>
      <c r="M122" t="e">
        <f>VLOOKUP(L122,old!L:L,1,0)</f>
        <v>#N/A</v>
      </c>
    </row>
    <row r="123" spans="1:13" x14ac:dyDescent="0.2">
      <c r="A123" t="s">
        <v>265</v>
      </c>
      <c r="B123" t="s">
        <v>211</v>
      </c>
      <c r="C123" t="s">
        <v>216</v>
      </c>
      <c r="D123" t="s">
        <v>213</v>
      </c>
      <c r="E123" t="s">
        <v>218</v>
      </c>
      <c r="F123">
        <v>101810</v>
      </c>
      <c r="G123" t="s">
        <v>234</v>
      </c>
      <c r="H123" t="s">
        <v>230</v>
      </c>
      <c r="I123" t="s">
        <v>235</v>
      </c>
      <c r="J123" t="s">
        <v>237</v>
      </c>
      <c r="K123" t="s">
        <v>243</v>
      </c>
      <c r="L123" t="s">
        <v>447</v>
      </c>
      <c r="M123" t="e">
        <f>VLOOKUP(L123,old!L:L,1,0)</f>
        <v>#N/A</v>
      </c>
    </row>
    <row r="124" spans="1:13" x14ac:dyDescent="0.2">
      <c r="A124" t="s">
        <v>266</v>
      </c>
      <c r="B124" t="s">
        <v>213</v>
      </c>
      <c r="C124" t="s">
        <v>219</v>
      </c>
      <c r="D124" t="s">
        <v>211</v>
      </c>
      <c r="E124" t="s">
        <v>218</v>
      </c>
      <c r="F124">
        <v>101536</v>
      </c>
      <c r="G124" t="s">
        <v>233</v>
      </c>
      <c r="H124" t="s">
        <v>229</v>
      </c>
      <c r="I124" t="s">
        <v>235</v>
      </c>
      <c r="J124" t="s">
        <v>239</v>
      </c>
      <c r="K124" t="s">
        <v>241</v>
      </c>
      <c r="L124" t="s">
        <v>448</v>
      </c>
      <c r="M124" t="e">
        <f>VLOOKUP(L124,old!L:L,1,0)</f>
        <v>#N/A</v>
      </c>
    </row>
    <row r="125" spans="1:13" x14ac:dyDescent="0.2">
      <c r="A125" t="s">
        <v>267</v>
      </c>
      <c r="B125" t="s">
        <v>212</v>
      </c>
      <c r="C125" t="s">
        <v>218</v>
      </c>
      <c r="D125" t="s">
        <v>213</v>
      </c>
      <c r="E125" t="s">
        <v>218</v>
      </c>
      <c r="F125">
        <v>103336</v>
      </c>
      <c r="G125" t="s">
        <v>228</v>
      </c>
      <c r="H125" t="s">
        <v>232</v>
      </c>
      <c r="I125" t="s">
        <v>235</v>
      </c>
      <c r="J125" t="s">
        <v>237</v>
      </c>
      <c r="K125" t="s">
        <v>243</v>
      </c>
      <c r="L125" t="s">
        <v>449</v>
      </c>
      <c r="M125" t="e">
        <f>VLOOKUP(L125,old!L:L,1,0)</f>
        <v>#N/A</v>
      </c>
    </row>
    <row r="126" spans="1:13" x14ac:dyDescent="0.2">
      <c r="A126" t="s">
        <v>268</v>
      </c>
      <c r="B126" t="s">
        <v>213</v>
      </c>
      <c r="C126" t="s">
        <v>217</v>
      </c>
      <c r="D126" t="s">
        <v>213</v>
      </c>
      <c r="E126" t="s">
        <v>220</v>
      </c>
      <c r="F126">
        <v>101076</v>
      </c>
      <c r="G126" t="s">
        <v>231</v>
      </c>
      <c r="H126" t="s">
        <v>233</v>
      </c>
      <c r="I126" t="s">
        <v>235</v>
      </c>
      <c r="J126" t="s">
        <v>236</v>
      </c>
      <c r="K126" t="s">
        <v>242</v>
      </c>
      <c r="L126" t="s">
        <v>450</v>
      </c>
      <c r="M126" t="e">
        <f>VLOOKUP(L126,old!L:L,1,0)</f>
        <v>#N/A</v>
      </c>
    </row>
    <row r="127" spans="1:13" x14ac:dyDescent="0.2">
      <c r="A127" t="s">
        <v>269</v>
      </c>
      <c r="B127" t="s">
        <v>211</v>
      </c>
      <c r="C127" t="s">
        <v>218</v>
      </c>
      <c r="D127" t="s">
        <v>214</v>
      </c>
      <c r="E127" t="s">
        <v>222</v>
      </c>
      <c r="F127">
        <v>101132</v>
      </c>
      <c r="G127" t="s">
        <v>234</v>
      </c>
      <c r="H127" t="s">
        <v>225</v>
      </c>
      <c r="I127" t="s">
        <v>235</v>
      </c>
      <c r="J127" t="s">
        <v>237</v>
      </c>
      <c r="K127" t="s">
        <v>241</v>
      </c>
      <c r="L127" t="s">
        <v>451</v>
      </c>
      <c r="M127" t="e">
        <f>VLOOKUP(L127,old!L:L,1,0)</f>
        <v>#N/A</v>
      </c>
    </row>
    <row r="128" spans="1:13" x14ac:dyDescent="0.2">
      <c r="A128" t="s">
        <v>270</v>
      </c>
      <c r="B128" t="s">
        <v>215</v>
      </c>
      <c r="C128" t="s">
        <v>216</v>
      </c>
      <c r="D128" t="s">
        <v>213</v>
      </c>
      <c r="E128" t="s">
        <v>222</v>
      </c>
      <c r="F128">
        <v>102661</v>
      </c>
      <c r="G128" t="s">
        <v>224</v>
      </c>
      <c r="H128" t="s">
        <v>234</v>
      </c>
      <c r="I128" t="s">
        <v>235</v>
      </c>
      <c r="J128" t="s">
        <v>236</v>
      </c>
      <c r="K128" t="s">
        <v>240</v>
      </c>
      <c r="L128" t="s">
        <v>452</v>
      </c>
      <c r="M128" t="e">
        <f>VLOOKUP(L128,old!L:L,1,0)</f>
        <v>#N/A</v>
      </c>
    </row>
    <row r="129" spans="1:13" x14ac:dyDescent="0.2">
      <c r="A129" t="s">
        <v>271</v>
      </c>
      <c r="B129" t="s">
        <v>213</v>
      </c>
      <c r="C129" t="s">
        <v>218</v>
      </c>
      <c r="D129" t="s">
        <v>214</v>
      </c>
      <c r="E129" t="s">
        <v>223</v>
      </c>
      <c r="F129">
        <v>102652</v>
      </c>
      <c r="G129" t="s">
        <v>226</v>
      </c>
      <c r="H129" t="s">
        <v>227</v>
      </c>
      <c r="I129" t="s">
        <v>235</v>
      </c>
      <c r="J129" t="s">
        <v>238</v>
      </c>
      <c r="K129" t="s">
        <v>242</v>
      </c>
      <c r="L129" t="s">
        <v>453</v>
      </c>
      <c r="M129" t="e">
        <f>VLOOKUP(L129,old!L:L,1,0)</f>
        <v>#N/A</v>
      </c>
    </row>
    <row r="130" spans="1:13" x14ac:dyDescent="0.2">
      <c r="A130" t="s">
        <v>272</v>
      </c>
      <c r="B130" t="s">
        <v>214</v>
      </c>
      <c r="C130" t="s">
        <v>218</v>
      </c>
      <c r="D130" t="s">
        <v>213</v>
      </c>
      <c r="E130" t="s">
        <v>223</v>
      </c>
      <c r="F130">
        <v>101170</v>
      </c>
      <c r="G130" t="s">
        <v>226</v>
      </c>
      <c r="H130" t="s">
        <v>228</v>
      </c>
      <c r="I130" t="s">
        <v>235</v>
      </c>
      <c r="J130" t="s">
        <v>239</v>
      </c>
      <c r="K130" t="s">
        <v>243</v>
      </c>
      <c r="L130" t="s">
        <v>454</v>
      </c>
      <c r="M130" t="e">
        <f>VLOOKUP(L130,old!L:L,1,0)</f>
        <v>#N/A</v>
      </c>
    </row>
    <row r="131" spans="1:13" x14ac:dyDescent="0.2">
      <c r="A131" t="s">
        <v>273</v>
      </c>
      <c r="B131" t="s">
        <v>214</v>
      </c>
      <c r="C131" t="s">
        <v>217</v>
      </c>
      <c r="D131" t="s">
        <v>213</v>
      </c>
      <c r="E131" t="s">
        <v>222</v>
      </c>
      <c r="F131">
        <v>102046</v>
      </c>
      <c r="G131" t="s">
        <v>233</v>
      </c>
      <c r="H131" t="s">
        <v>230</v>
      </c>
      <c r="I131" t="s">
        <v>235</v>
      </c>
      <c r="J131" t="s">
        <v>236</v>
      </c>
      <c r="K131" t="s">
        <v>240</v>
      </c>
      <c r="L131" t="s">
        <v>455</v>
      </c>
      <c r="M131" t="e">
        <f>VLOOKUP(L131,old!L:L,1,0)</f>
        <v>#N/A</v>
      </c>
    </row>
    <row r="132" spans="1:13" x14ac:dyDescent="0.2">
      <c r="A132" t="s">
        <v>274</v>
      </c>
      <c r="B132" t="s">
        <v>211</v>
      </c>
      <c r="C132" t="s">
        <v>216</v>
      </c>
      <c r="D132" t="s">
        <v>215</v>
      </c>
      <c r="E132" t="s">
        <v>223</v>
      </c>
      <c r="F132">
        <v>101103</v>
      </c>
      <c r="G132" t="s">
        <v>225</v>
      </c>
      <c r="H132" t="s">
        <v>232</v>
      </c>
      <c r="I132" t="s">
        <v>235</v>
      </c>
      <c r="J132" t="s">
        <v>237</v>
      </c>
      <c r="K132" t="s">
        <v>243</v>
      </c>
      <c r="L132" t="s">
        <v>456</v>
      </c>
      <c r="M132" t="e">
        <f>VLOOKUP(L132,old!L:L,1,0)</f>
        <v>#N/A</v>
      </c>
    </row>
    <row r="133" spans="1:13" x14ac:dyDescent="0.2">
      <c r="A133" t="s">
        <v>275</v>
      </c>
      <c r="B133" t="s">
        <v>212</v>
      </c>
      <c r="C133" t="s">
        <v>218</v>
      </c>
      <c r="D133" t="s">
        <v>215</v>
      </c>
      <c r="E133" t="s">
        <v>218</v>
      </c>
      <c r="F133">
        <v>101528</v>
      </c>
      <c r="G133" t="s">
        <v>231</v>
      </c>
      <c r="H133" t="s">
        <v>227</v>
      </c>
      <c r="I133" t="s">
        <v>235</v>
      </c>
      <c r="J133" t="s">
        <v>237</v>
      </c>
      <c r="K133" t="s">
        <v>241</v>
      </c>
      <c r="L133" t="s">
        <v>457</v>
      </c>
      <c r="M133" t="e">
        <f>VLOOKUP(L133,old!L:L,1,0)</f>
        <v>#N/A</v>
      </c>
    </row>
    <row r="134" spans="1:13" x14ac:dyDescent="0.2">
      <c r="A134" t="s">
        <v>276</v>
      </c>
      <c r="B134" t="s">
        <v>213</v>
      </c>
      <c r="C134" t="s">
        <v>217</v>
      </c>
      <c r="D134" t="s">
        <v>211</v>
      </c>
      <c r="E134" t="s">
        <v>220</v>
      </c>
      <c r="F134">
        <v>102309</v>
      </c>
      <c r="G134" t="s">
        <v>234</v>
      </c>
      <c r="H134" t="s">
        <v>233</v>
      </c>
      <c r="I134" t="s">
        <v>235</v>
      </c>
      <c r="J134" t="s">
        <v>237</v>
      </c>
      <c r="K134" t="s">
        <v>243</v>
      </c>
      <c r="L134" t="s">
        <v>458</v>
      </c>
      <c r="M134" t="e">
        <f>VLOOKUP(L134,old!L:L,1,0)</f>
        <v>#N/A</v>
      </c>
    </row>
    <row r="135" spans="1:13" x14ac:dyDescent="0.2">
      <c r="A135" t="s">
        <v>277</v>
      </c>
      <c r="B135" t="s">
        <v>214</v>
      </c>
      <c r="C135" t="s">
        <v>218</v>
      </c>
      <c r="D135" t="s">
        <v>211</v>
      </c>
      <c r="E135" t="s">
        <v>220</v>
      </c>
      <c r="F135">
        <v>102821</v>
      </c>
      <c r="G135" t="s">
        <v>228</v>
      </c>
      <c r="H135" t="s">
        <v>234</v>
      </c>
      <c r="I135" t="s">
        <v>235</v>
      </c>
      <c r="J135" t="s">
        <v>237</v>
      </c>
      <c r="K135" t="s">
        <v>240</v>
      </c>
      <c r="L135" t="s">
        <v>459</v>
      </c>
      <c r="M135" t="e">
        <f>VLOOKUP(L135,old!L:L,1,0)</f>
        <v>#N/A</v>
      </c>
    </row>
    <row r="136" spans="1:13" x14ac:dyDescent="0.2">
      <c r="A136" t="s">
        <v>278</v>
      </c>
      <c r="B136" t="s">
        <v>212</v>
      </c>
      <c r="C136" t="s">
        <v>219</v>
      </c>
      <c r="D136" t="s">
        <v>215</v>
      </c>
      <c r="E136" t="s">
        <v>223</v>
      </c>
      <c r="F136">
        <v>101547</v>
      </c>
      <c r="G136" t="s">
        <v>229</v>
      </c>
      <c r="H136" t="s">
        <v>233</v>
      </c>
      <c r="I136" t="s">
        <v>235</v>
      </c>
      <c r="J136" t="s">
        <v>236</v>
      </c>
      <c r="K136" t="s">
        <v>242</v>
      </c>
      <c r="L136" t="s">
        <v>460</v>
      </c>
      <c r="M136" t="e">
        <f>VLOOKUP(L136,old!L:L,1,0)</f>
        <v>#N/A</v>
      </c>
    </row>
    <row r="137" spans="1:13" x14ac:dyDescent="0.2">
      <c r="A137" t="s">
        <v>279</v>
      </c>
      <c r="B137" t="s">
        <v>215</v>
      </c>
      <c r="C137" t="s">
        <v>216</v>
      </c>
      <c r="D137" t="s">
        <v>214</v>
      </c>
      <c r="E137" t="s">
        <v>220</v>
      </c>
      <c r="F137">
        <v>101844</v>
      </c>
      <c r="G137" t="s">
        <v>234</v>
      </c>
      <c r="H137" t="s">
        <v>234</v>
      </c>
      <c r="I137" t="s">
        <v>235</v>
      </c>
      <c r="J137" t="s">
        <v>238</v>
      </c>
      <c r="K137" t="s">
        <v>243</v>
      </c>
      <c r="L137" t="s">
        <v>461</v>
      </c>
      <c r="M137" t="e">
        <f>VLOOKUP(L137,old!L:L,1,0)</f>
        <v>#N/A</v>
      </c>
    </row>
    <row r="138" spans="1:13" x14ac:dyDescent="0.2">
      <c r="A138" t="s">
        <v>280</v>
      </c>
      <c r="B138" t="s">
        <v>215</v>
      </c>
      <c r="C138" t="s">
        <v>216</v>
      </c>
      <c r="D138" t="s">
        <v>213</v>
      </c>
      <c r="E138" t="s">
        <v>223</v>
      </c>
      <c r="F138">
        <v>102965</v>
      </c>
      <c r="G138" t="s">
        <v>226</v>
      </c>
      <c r="H138" t="s">
        <v>229</v>
      </c>
      <c r="I138" t="s">
        <v>235</v>
      </c>
      <c r="J138" t="s">
        <v>239</v>
      </c>
      <c r="K138" t="s">
        <v>241</v>
      </c>
      <c r="L138" t="s">
        <v>462</v>
      </c>
      <c r="M138" t="e">
        <f>VLOOKUP(L138,old!L:L,1,0)</f>
        <v>#N/A</v>
      </c>
    </row>
    <row r="139" spans="1:13" x14ac:dyDescent="0.2">
      <c r="A139" t="s">
        <v>281</v>
      </c>
      <c r="B139" t="s">
        <v>214</v>
      </c>
      <c r="C139" t="s">
        <v>219</v>
      </c>
      <c r="D139" t="s">
        <v>214</v>
      </c>
      <c r="E139" t="s">
        <v>223</v>
      </c>
      <c r="F139">
        <v>102686</v>
      </c>
      <c r="G139" t="s">
        <v>226</v>
      </c>
      <c r="H139" t="s">
        <v>231</v>
      </c>
      <c r="I139" t="s">
        <v>235</v>
      </c>
      <c r="J139" t="s">
        <v>239</v>
      </c>
      <c r="K139" t="s">
        <v>242</v>
      </c>
      <c r="L139" t="s">
        <v>463</v>
      </c>
      <c r="M139" t="e">
        <f>VLOOKUP(L139,old!L:L,1,0)</f>
        <v>#N/A</v>
      </c>
    </row>
    <row r="140" spans="1:13" x14ac:dyDescent="0.2">
      <c r="A140" t="s">
        <v>282</v>
      </c>
      <c r="B140" t="s">
        <v>214</v>
      </c>
      <c r="C140" t="s">
        <v>218</v>
      </c>
      <c r="D140" t="s">
        <v>215</v>
      </c>
      <c r="E140" t="s">
        <v>222</v>
      </c>
      <c r="F140">
        <v>102438</v>
      </c>
      <c r="G140" t="s">
        <v>227</v>
      </c>
      <c r="H140" t="s">
        <v>230</v>
      </c>
      <c r="I140" t="s">
        <v>235</v>
      </c>
      <c r="J140" t="s">
        <v>237</v>
      </c>
      <c r="K140" t="s">
        <v>240</v>
      </c>
      <c r="L140" t="s">
        <v>464</v>
      </c>
      <c r="M140" t="e">
        <f>VLOOKUP(L140,old!L:L,1,0)</f>
        <v>#N/A</v>
      </c>
    </row>
    <row r="141" spans="1:13" x14ac:dyDescent="0.2">
      <c r="A141" t="s">
        <v>283</v>
      </c>
      <c r="B141" t="s">
        <v>214</v>
      </c>
      <c r="C141" t="s">
        <v>218</v>
      </c>
      <c r="D141" t="s">
        <v>211</v>
      </c>
      <c r="E141" t="s">
        <v>220</v>
      </c>
      <c r="F141">
        <v>103383</v>
      </c>
      <c r="G141" t="s">
        <v>225</v>
      </c>
      <c r="H141" t="s">
        <v>227</v>
      </c>
      <c r="I141" t="s">
        <v>235</v>
      </c>
      <c r="J141" t="s">
        <v>238</v>
      </c>
      <c r="K141" t="s">
        <v>240</v>
      </c>
      <c r="L141" t="s">
        <v>465</v>
      </c>
      <c r="M141" t="e">
        <f>VLOOKUP(L141,old!L:L,1,0)</f>
        <v>#N/A</v>
      </c>
    </row>
    <row r="142" spans="1:13" x14ac:dyDescent="0.2">
      <c r="A142" t="s">
        <v>284</v>
      </c>
      <c r="B142" t="s">
        <v>214</v>
      </c>
      <c r="C142" t="s">
        <v>219</v>
      </c>
      <c r="D142" t="s">
        <v>214</v>
      </c>
      <c r="E142" t="s">
        <v>220</v>
      </c>
      <c r="F142">
        <v>101078</v>
      </c>
      <c r="G142" t="s">
        <v>225</v>
      </c>
      <c r="H142" t="s">
        <v>225</v>
      </c>
      <c r="I142" t="s">
        <v>235</v>
      </c>
      <c r="J142" t="s">
        <v>239</v>
      </c>
      <c r="K142" t="s">
        <v>242</v>
      </c>
      <c r="L142" t="s">
        <v>466</v>
      </c>
      <c r="M142" t="e">
        <f>VLOOKUP(L142,old!L:L,1,0)</f>
        <v>#N/A</v>
      </c>
    </row>
    <row r="143" spans="1:13" x14ac:dyDescent="0.2">
      <c r="A143" t="s">
        <v>285</v>
      </c>
      <c r="B143" t="s">
        <v>211</v>
      </c>
      <c r="C143" t="s">
        <v>217</v>
      </c>
      <c r="D143" t="s">
        <v>215</v>
      </c>
      <c r="E143" t="s">
        <v>222</v>
      </c>
      <c r="F143">
        <v>103370</v>
      </c>
      <c r="G143" t="s">
        <v>233</v>
      </c>
      <c r="H143" t="s">
        <v>226</v>
      </c>
      <c r="I143" t="s">
        <v>235</v>
      </c>
      <c r="J143" t="s">
        <v>239</v>
      </c>
      <c r="K143" t="s">
        <v>243</v>
      </c>
      <c r="L143" t="s">
        <v>467</v>
      </c>
      <c r="M143" t="e">
        <f>VLOOKUP(L143,old!L:L,1,0)</f>
        <v>#N/A</v>
      </c>
    </row>
    <row r="144" spans="1:13" x14ac:dyDescent="0.2">
      <c r="A144" t="s">
        <v>286</v>
      </c>
      <c r="B144" t="s">
        <v>212</v>
      </c>
      <c r="C144" t="s">
        <v>219</v>
      </c>
      <c r="D144" t="s">
        <v>215</v>
      </c>
      <c r="E144" t="s">
        <v>222</v>
      </c>
      <c r="F144">
        <v>102281</v>
      </c>
      <c r="G144" t="s">
        <v>229</v>
      </c>
      <c r="H144" t="s">
        <v>232</v>
      </c>
      <c r="I144" t="s">
        <v>235</v>
      </c>
      <c r="J144" t="s">
        <v>237</v>
      </c>
      <c r="K144" t="s">
        <v>241</v>
      </c>
      <c r="L144" t="s">
        <v>468</v>
      </c>
      <c r="M144" t="e">
        <f>VLOOKUP(L144,old!L:L,1,0)</f>
        <v>#N/A</v>
      </c>
    </row>
    <row r="145" spans="1:13" x14ac:dyDescent="0.2">
      <c r="A145" t="s">
        <v>287</v>
      </c>
      <c r="B145" t="s">
        <v>212</v>
      </c>
      <c r="C145" t="s">
        <v>218</v>
      </c>
      <c r="D145" t="s">
        <v>215</v>
      </c>
      <c r="E145" t="s">
        <v>220</v>
      </c>
      <c r="F145">
        <v>103484</v>
      </c>
      <c r="G145" t="s">
        <v>225</v>
      </c>
      <c r="H145" t="s">
        <v>229</v>
      </c>
      <c r="I145" t="s">
        <v>235</v>
      </c>
      <c r="J145" t="s">
        <v>239</v>
      </c>
      <c r="K145" t="s">
        <v>242</v>
      </c>
      <c r="L145" t="s">
        <v>469</v>
      </c>
      <c r="M145" t="e">
        <f>VLOOKUP(L145,old!L:L,1,0)</f>
        <v>#N/A</v>
      </c>
    </row>
    <row r="146" spans="1:13" x14ac:dyDescent="0.2">
      <c r="A146" t="s">
        <v>288</v>
      </c>
      <c r="B146" t="s">
        <v>214</v>
      </c>
      <c r="C146" t="s">
        <v>218</v>
      </c>
      <c r="D146" t="s">
        <v>211</v>
      </c>
      <c r="E146" t="s">
        <v>223</v>
      </c>
      <c r="F146">
        <v>102446</v>
      </c>
      <c r="G146" t="s">
        <v>225</v>
      </c>
      <c r="H146" t="s">
        <v>234</v>
      </c>
      <c r="I146" t="s">
        <v>235</v>
      </c>
      <c r="J146" t="s">
        <v>238</v>
      </c>
      <c r="K146" t="s">
        <v>243</v>
      </c>
      <c r="L146" t="s">
        <v>470</v>
      </c>
      <c r="M146" t="e">
        <f>VLOOKUP(L146,old!L:L,1,0)</f>
        <v>#N/A</v>
      </c>
    </row>
    <row r="147" spans="1:13" x14ac:dyDescent="0.2">
      <c r="A147" t="s">
        <v>289</v>
      </c>
      <c r="B147" t="s">
        <v>214</v>
      </c>
      <c r="C147" t="s">
        <v>216</v>
      </c>
      <c r="D147" t="s">
        <v>211</v>
      </c>
      <c r="E147" t="s">
        <v>218</v>
      </c>
      <c r="F147">
        <v>103478</v>
      </c>
      <c r="G147" t="s">
        <v>228</v>
      </c>
      <c r="H147" t="s">
        <v>232</v>
      </c>
      <c r="I147" t="s">
        <v>235</v>
      </c>
      <c r="J147" t="s">
        <v>236</v>
      </c>
      <c r="K147" t="s">
        <v>241</v>
      </c>
      <c r="L147" t="s">
        <v>471</v>
      </c>
      <c r="M147" t="e">
        <f>VLOOKUP(L147,old!L:L,1,0)</f>
        <v>#N/A</v>
      </c>
    </row>
    <row r="148" spans="1:13" x14ac:dyDescent="0.2">
      <c r="A148" t="s">
        <v>290</v>
      </c>
      <c r="B148" t="s">
        <v>213</v>
      </c>
      <c r="C148" t="s">
        <v>216</v>
      </c>
      <c r="D148" t="s">
        <v>213</v>
      </c>
      <c r="E148" t="s">
        <v>221</v>
      </c>
      <c r="F148">
        <v>102094</v>
      </c>
      <c r="G148" t="s">
        <v>225</v>
      </c>
      <c r="H148" t="s">
        <v>230</v>
      </c>
      <c r="I148" t="s">
        <v>235</v>
      </c>
      <c r="J148" t="s">
        <v>239</v>
      </c>
      <c r="K148" t="s">
        <v>243</v>
      </c>
      <c r="L148" t="s">
        <v>472</v>
      </c>
      <c r="M148" t="e">
        <f>VLOOKUP(L148,old!L:L,1,0)</f>
        <v>#N/A</v>
      </c>
    </row>
    <row r="149" spans="1:13" x14ac:dyDescent="0.2">
      <c r="A149" t="s">
        <v>291</v>
      </c>
      <c r="B149" t="s">
        <v>213</v>
      </c>
      <c r="C149" t="s">
        <v>217</v>
      </c>
      <c r="D149" t="s">
        <v>213</v>
      </c>
      <c r="E149" t="s">
        <v>218</v>
      </c>
      <c r="F149">
        <v>102733</v>
      </c>
      <c r="G149" t="s">
        <v>225</v>
      </c>
      <c r="H149" t="s">
        <v>226</v>
      </c>
      <c r="I149" t="s">
        <v>235</v>
      </c>
      <c r="J149" t="s">
        <v>236</v>
      </c>
      <c r="K149" t="s">
        <v>242</v>
      </c>
      <c r="L149" t="s">
        <v>473</v>
      </c>
      <c r="M149" t="e">
        <f>VLOOKUP(L149,old!L:L,1,0)</f>
        <v>#N/A</v>
      </c>
    </row>
    <row r="150" spans="1:13" x14ac:dyDescent="0.2">
      <c r="A150" t="s">
        <v>292</v>
      </c>
      <c r="B150" t="s">
        <v>211</v>
      </c>
      <c r="C150" t="s">
        <v>217</v>
      </c>
      <c r="D150" t="s">
        <v>215</v>
      </c>
      <c r="E150" t="s">
        <v>222</v>
      </c>
      <c r="F150">
        <v>102350</v>
      </c>
      <c r="G150" t="s">
        <v>233</v>
      </c>
      <c r="H150" t="s">
        <v>228</v>
      </c>
      <c r="I150" t="s">
        <v>235</v>
      </c>
      <c r="J150" t="s">
        <v>238</v>
      </c>
      <c r="K150" t="s">
        <v>242</v>
      </c>
      <c r="L150" t="s">
        <v>474</v>
      </c>
      <c r="M150" t="e">
        <f>VLOOKUP(L150,old!L:L,1,0)</f>
        <v>#N/A</v>
      </c>
    </row>
    <row r="151" spans="1:13" x14ac:dyDescent="0.2">
      <c r="A151" t="s">
        <v>293</v>
      </c>
      <c r="B151" t="s">
        <v>213</v>
      </c>
      <c r="C151" t="s">
        <v>216</v>
      </c>
      <c r="D151" t="s">
        <v>211</v>
      </c>
      <c r="E151" t="s">
        <v>222</v>
      </c>
      <c r="F151">
        <v>101064</v>
      </c>
      <c r="G151" t="s">
        <v>234</v>
      </c>
      <c r="H151" t="s">
        <v>233</v>
      </c>
      <c r="I151" t="s">
        <v>235</v>
      </c>
      <c r="J151" t="s">
        <v>236</v>
      </c>
      <c r="K151" t="s">
        <v>241</v>
      </c>
      <c r="L151" t="s">
        <v>475</v>
      </c>
      <c r="M151" t="e">
        <f>VLOOKUP(L151,old!L:L,1,0)</f>
        <v>#N/A</v>
      </c>
    </row>
    <row r="152" spans="1:13" x14ac:dyDescent="0.2">
      <c r="A152" t="s">
        <v>294</v>
      </c>
      <c r="B152" t="s">
        <v>214</v>
      </c>
      <c r="C152" t="s">
        <v>216</v>
      </c>
      <c r="D152" t="s">
        <v>212</v>
      </c>
      <c r="E152" t="s">
        <v>223</v>
      </c>
      <c r="F152">
        <v>101367</v>
      </c>
      <c r="G152" t="s">
        <v>227</v>
      </c>
      <c r="H152" t="s">
        <v>227</v>
      </c>
      <c r="I152" t="s">
        <v>235</v>
      </c>
      <c r="J152" t="s">
        <v>236</v>
      </c>
      <c r="K152" t="s">
        <v>241</v>
      </c>
      <c r="L152" t="s">
        <v>476</v>
      </c>
      <c r="M152" t="e">
        <f>VLOOKUP(L152,old!L:L,1,0)</f>
        <v>#N/A</v>
      </c>
    </row>
    <row r="153" spans="1:13" x14ac:dyDescent="0.2">
      <c r="A153" t="s">
        <v>295</v>
      </c>
      <c r="B153" t="s">
        <v>215</v>
      </c>
      <c r="C153" t="s">
        <v>217</v>
      </c>
      <c r="D153" t="s">
        <v>211</v>
      </c>
      <c r="E153" t="s">
        <v>220</v>
      </c>
      <c r="F153">
        <v>103720</v>
      </c>
      <c r="G153" t="s">
        <v>226</v>
      </c>
      <c r="H153" t="s">
        <v>234</v>
      </c>
      <c r="I153" t="s">
        <v>235</v>
      </c>
      <c r="J153" t="s">
        <v>239</v>
      </c>
      <c r="K153" t="s">
        <v>243</v>
      </c>
      <c r="L153" t="s">
        <v>477</v>
      </c>
      <c r="M153" t="e">
        <f>VLOOKUP(L153,old!L:L,1,0)</f>
        <v>#N/A</v>
      </c>
    </row>
    <row r="154" spans="1:13" x14ac:dyDescent="0.2">
      <c r="A154" t="s">
        <v>296</v>
      </c>
      <c r="B154" t="s">
        <v>213</v>
      </c>
      <c r="C154" t="s">
        <v>217</v>
      </c>
      <c r="D154" t="s">
        <v>214</v>
      </c>
      <c r="E154" t="s">
        <v>222</v>
      </c>
      <c r="F154">
        <v>102196</v>
      </c>
      <c r="G154" t="s">
        <v>229</v>
      </c>
      <c r="H154" t="s">
        <v>232</v>
      </c>
      <c r="I154" t="s">
        <v>235</v>
      </c>
      <c r="J154" t="s">
        <v>238</v>
      </c>
      <c r="K154" t="s">
        <v>242</v>
      </c>
      <c r="L154" t="s">
        <v>478</v>
      </c>
      <c r="M154" t="e">
        <f>VLOOKUP(L154,old!L:L,1,0)</f>
        <v>#N/A</v>
      </c>
    </row>
    <row r="155" spans="1:13" x14ac:dyDescent="0.2">
      <c r="A155" t="s">
        <v>297</v>
      </c>
      <c r="B155" t="s">
        <v>214</v>
      </c>
      <c r="C155" t="s">
        <v>217</v>
      </c>
      <c r="D155" t="s">
        <v>213</v>
      </c>
      <c r="E155" t="s">
        <v>220</v>
      </c>
      <c r="F155">
        <v>101179</v>
      </c>
      <c r="G155" t="s">
        <v>228</v>
      </c>
      <c r="H155" t="s">
        <v>224</v>
      </c>
      <c r="I155" t="s">
        <v>235</v>
      </c>
      <c r="J155" t="s">
        <v>237</v>
      </c>
      <c r="K155" t="s">
        <v>240</v>
      </c>
      <c r="L155" t="s">
        <v>479</v>
      </c>
      <c r="M155" t="e">
        <f>VLOOKUP(L155,old!L:L,1,0)</f>
        <v>#N/A</v>
      </c>
    </row>
    <row r="156" spans="1:13" x14ac:dyDescent="0.2">
      <c r="A156" t="s">
        <v>298</v>
      </c>
      <c r="B156" t="s">
        <v>215</v>
      </c>
      <c r="C156" t="s">
        <v>219</v>
      </c>
      <c r="D156" t="s">
        <v>215</v>
      </c>
      <c r="E156" t="s">
        <v>222</v>
      </c>
      <c r="F156">
        <v>103408</v>
      </c>
      <c r="G156" t="s">
        <v>227</v>
      </c>
      <c r="H156" t="s">
        <v>231</v>
      </c>
      <c r="I156" t="s">
        <v>235</v>
      </c>
      <c r="J156" t="s">
        <v>236</v>
      </c>
      <c r="K156" t="s">
        <v>242</v>
      </c>
      <c r="L156" t="s">
        <v>480</v>
      </c>
      <c r="M156" t="e">
        <f>VLOOKUP(L156,old!L:L,1,0)</f>
        <v>#N/A</v>
      </c>
    </row>
    <row r="157" spans="1:13" x14ac:dyDescent="0.2">
      <c r="A157" t="s">
        <v>299</v>
      </c>
      <c r="B157" t="s">
        <v>215</v>
      </c>
      <c r="C157" t="s">
        <v>218</v>
      </c>
      <c r="D157" t="s">
        <v>211</v>
      </c>
      <c r="E157" t="s">
        <v>220</v>
      </c>
      <c r="F157">
        <v>101745</v>
      </c>
      <c r="G157" t="s">
        <v>231</v>
      </c>
      <c r="H157" t="s">
        <v>230</v>
      </c>
      <c r="I157" t="s">
        <v>235</v>
      </c>
      <c r="J157" t="s">
        <v>239</v>
      </c>
      <c r="K157" t="s">
        <v>243</v>
      </c>
      <c r="L157" t="s">
        <v>481</v>
      </c>
      <c r="M157" t="e">
        <f>VLOOKUP(L157,old!L:L,1,0)</f>
        <v>#N/A</v>
      </c>
    </row>
    <row r="158" spans="1:13" x14ac:dyDescent="0.2">
      <c r="A158" t="s">
        <v>300</v>
      </c>
      <c r="B158" t="s">
        <v>215</v>
      </c>
      <c r="C158" t="s">
        <v>219</v>
      </c>
      <c r="D158" t="s">
        <v>215</v>
      </c>
      <c r="E158" t="s">
        <v>222</v>
      </c>
      <c r="F158">
        <v>103099</v>
      </c>
      <c r="G158" t="s">
        <v>229</v>
      </c>
      <c r="H158" t="s">
        <v>229</v>
      </c>
      <c r="I158" t="s">
        <v>235</v>
      </c>
      <c r="J158" t="s">
        <v>239</v>
      </c>
      <c r="K158" t="s">
        <v>240</v>
      </c>
      <c r="L158" t="s">
        <v>482</v>
      </c>
      <c r="M158" t="e">
        <f>VLOOKUP(L158,old!L:L,1,0)</f>
        <v>#N/A</v>
      </c>
    </row>
    <row r="159" spans="1:13" x14ac:dyDescent="0.2">
      <c r="A159" t="s">
        <v>301</v>
      </c>
      <c r="B159" t="s">
        <v>213</v>
      </c>
      <c r="C159" t="s">
        <v>219</v>
      </c>
      <c r="D159" t="s">
        <v>214</v>
      </c>
      <c r="E159" t="s">
        <v>222</v>
      </c>
      <c r="F159">
        <v>103931</v>
      </c>
      <c r="G159" t="s">
        <v>234</v>
      </c>
      <c r="H159" t="s">
        <v>231</v>
      </c>
      <c r="I159" t="s">
        <v>235</v>
      </c>
      <c r="J159" t="s">
        <v>238</v>
      </c>
      <c r="K159" t="s">
        <v>243</v>
      </c>
      <c r="L159" t="s">
        <v>483</v>
      </c>
      <c r="M159" t="e">
        <f>VLOOKUP(L159,old!L:L,1,0)</f>
        <v>#N/A</v>
      </c>
    </row>
    <row r="160" spans="1:13" x14ac:dyDescent="0.2">
      <c r="A160" t="s">
        <v>302</v>
      </c>
      <c r="B160" t="s">
        <v>212</v>
      </c>
      <c r="C160" t="s">
        <v>216</v>
      </c>
      <c r="D160" t="s">
        <v>214</v>
      </c>
      <c r="E160" t="s">
        <v>222</v>
      </c>
      <c r="F160">
        <v>103864</v>
      </c>
      <c r="G160" t="s">
        <v>226</v>
      </c>
      <c r="H160" t="s">
        <v>228</v>
      </c>
      <c r="I160" t="s">
        <v>235</v>
      </c>
      <c r="J160" t="s">
        <v>236</v>
      </c>
      <c r="K160" t="s">
        <v>240</v>
      </c>
      <c r="L160" t="s">
        <v>484</v>
      </c>
      <c r="M160" t="e">
        <f>VLOOKUP(L160,old!L:L,1,0)</f>
        <v>#N/A</v>
      </c>
    </row>
    <row r="161" spans="1:13" x14ac:dyDescent="0.2">
      <c r="A161" t="s">
        <v>303</v>
      </c>
      <c r="B161" t="s">
        <v>214</v>
      </c>
      <c r="C161" t="s">
        <v>218</v>
      </c>
      <c r="D161" t="s">
        <v>215</v>
      </c>
      <c r="E161" t="s">
        <v>220</v>
      </c>
      <c r="F161">
        <v>102910</v>
      </c>
      <c r="G161" t="s">
        <v>231</v>
      </c>
      <c r="H161" t="s">
        <v>234</v>
      </c>
      <c r="I161" t="s">
        <v>235</v>
      </c>
      <c r="J161" t="s">
        <v>239</v>
      </c>
      <c r="K161" t="s">
        <v>243</v>
      </c>
      <c r="L161" t="s">
        <v>485</v>
      </c>
      <c r="M161" t="e">
        <f>VLOOKUP(L161,old!L:L,1,0)</f>
        <v>#N/A</v>
      </c>
    </row>
    <row r="162" spans="1:13" x14ac:dyDescent="0.2">
      <c r="A162" t="s">
        <v>304</v>
      </c>
      <c r="B162" t="s">
        <v>211</v>
      </c>
      <c r="C162" t="s">
        <v>216</v>
      </c>
      <c r="D162" t="s">
        <v>212</v>
      </c>
      <c r="E162" t="s">
        <v>221</v>
      </c>
      <c r="F162">
        <v>102654</v>
      </c>
      <c r="G162" t="s">
        <v>225</v>
      </c>
      <c r="H162" t="s">
        <v>224</v>
      </c>
      <c r="I162" t="s">
        <v>235</v>
      </c>
      <c r="J162" t="s">
        <v>239</v>
      </c>
      <c r="K162" t="s">
        <v>243</v>
      </c>
      <c r="L162" t="s">
        <v>486</v>
      </c>
      <c r="M162" t="e">
        <f>VLOOKUP(L162,old!L:L,1,0)</f>
        <v>#N/A</v>
      </c>
    </row>
    <row r="163" spans="1:13" x14ac:dyDescent="0.2">
      <c r="A163" t="s">
        <v>305</v>
      </c>
      <c r="B163" t="s">
        <v>214</v>
      </c>
      <c r="C163" t="s">
        <v>216</v>
      </c>
      <c r="D163" t="s">
        <v>212</v>
      </c>
      <c r="E163" t="s">
        <v>223</v>
      </c>
      <c r="F163">
        <v>102093</v>
      </c>
      <c r="G163" t="s">
        <v>233</v>
      </c>
      <c r="H163" t="s">
        <v>232</v>
      </c>
      <c r="I163" t="s">
        <v>235</v>
      </c>
      <c r="J163" t="s">
        <v>236</v>
      </c>
      <c r="K163" t="s">
        <v>242</v>
      </c>
      <c r="L163" t="s">
        <v>487</v>
      </c>
      <c r="M163" t="e">
        <f>VLOOKUP(L163,old!L:L,1,0)</f>
        <v>#N/A</v>
      </c>
    </row>
    <row r="164" spans="1:13" x14ac:dyDescent="0.2">
      <c r="A164" t="s">
        <v>306</v>
      </c>
      <c r="B164" t="s">
        <v>212</v>
      </c>
      <c r="C164" t="s">
        <v>218</v>
      </c>
      <c r="D164" t="s">
        <v>212</v>
      </c>
      <c r="E164" t="s">
        <v>223</v>
      </c>
      <c r="F164">
        <v>103971</v>
      </c>
      <c r="G164" t="s">
        <v>229</v>
      </c>
      <c r="H164" t="s">
        <v>229</v>
      </c>
      <c r="I164" t="s">
        <v>235</v>
      </c>
      <c r="J164" t="s">
        <v>238</v>
      </c>
      <c r="K164" t="s">
        <v>241</v>
      </c>
      <c r="L164" t="s">
        <v>488</v>
      </c>
      <c r="M164" t="e">
        <f>VLOOKUP(L164,old!L:L,1,0)</f>
        <v>#N/A</v>
      </c>
    </row>
    <row r="165" spans="1:13" x14ac:dyDescent="0.2">
      <c r="A165" t="s">
        <v>307</v>
      </c>
      <c r="B165" t="s">
        <v>215</v>
      </c>
      <c r="C165" t="s">
        <v>218</v>
      </c>
      <c r="D165" t="s">
        <v>213</v>
      </c>
      <c r="E165" t="s">
        <v>218</v>
      </c>
      <c r="F165">
        <v>101553</v>
      </c>
      <c r="G165" t="s">
        <v>234</v>
      </c>
      <c r="H165" t="s">
        <v>228</v>
      </c>
      <c r="I165" t="s">
        <v>235</v>
      </c>
      <c r="J165" t="s">
        <v>239</v>
      </c>
      <c r="K165" t="s">
        <v>240</v>
      </c>
      <c r="L165" t="s">
        <v>489</v>
      </c>
      <c r="M165" t="e">
        <f>VLOOKUP(L165,old!L:L,1,0)</f>
        <v>#N/A</v>
      </c>
    </row>
    <row r="166" spans="1:13" x14ac:dyDescent="0.2">
      <c r="A166" t="s">
        <v>308</v>
      </c>
      <c r="B166" t="s">
        <v>215</v>
      </c>
      <c r="C166" t="s">
        <v>216</v>
      </c>
      <c r="D166" t="s">
        <v>212</v>
      </c>
      <c r="E166" t="s">
        <v>218</v>
      </c>
      <c r="F166">
        <v>102584</v>
      </c>
      <c r="G166" t="s">
        <v>229</v>
      </c>
      <c r="H166" t="s">
        <v>234</v>
      </c>
      <c r="I166" t="s">
        <v>235</v>
      </c>
      <c r="J166" t="s">
        <v>236</v>
      </c>
      <c r="K166" t="s">
        <v>241</v>
      </c>
      <c r="L166" t="s">
        <v>490</v>
      </c>
      <c r="M166" t="e">
        <f>VLOOKUP(L166,old!L:L,1,0)</f>
        <v>#N/A</v>
      </c>
    </row>
    <row r="167" spans="1:13" x14ac:dyDescent="0.2">
      <c r="A167" t="s">
        <v>309</v>
      </c>
      <c r="B167" t="s">
        <v>214</v>
      </c>
      <c r="C167" t="s">
        <v>219</v>
      </c>
      <c r="D167" t="s">
        <v>211</v>
      </c>
      <c r="E167" t="s">
        <v>218</v>
      </c>
      <c r="F167">
        <v>101514</v>
      </c>
      <c r="G167" t="s">
        <v>228</v>
      </c>
      <c r="H167" t="s">
        <v>227</v>
      </c>
      <c r="I167" t="s">
        <v>235</v>
      </c>
      <c r="J167" t="s">
        <v>239</v>
      </c>
      <c r="K167" t="s">
        <v>240</v>
      </c>
      <c r="L167" t="s">
        <v>491</v>
      </c>
      <c r="M167" t="e">
        <f>VLOOKUP(L167,old!L:L,1,0)</f>
        <v>#N/A</v>
      </c>
    </row>
    <row r="168" spans="1:13" x14ac:dyDescent="0.2">
      <c r="A168" t="s">
        <v>310</v>
      </c>
      <c r="B168" t="s">
        <v>214</v>
      </c>
      <c r="C168" t="s">
        <v>217</v>
      </c>
      <c r="D168" t="s">
        <v>213</v>
      </c>
      <c r="E168" t="s">
        <v>222</v>
      </c>
      <c r="F168">
        <v>103427</v>
      </c>
      <c r="G168" t="s">
        <v>224</v>
      </c>
      <c r="H168" t="s">
        <v>229</v>
      </c>
      <c r="I168" t="s">
        <v>235</v>
      </c>
      <c r="J168" t="s">
        <v>238</v>
      </c>
      <c r="K168" t="s">
        <v>240</v>
      </c>
      <c r="L168" t="s">
        <v>492</v>
      </c>
      <c r="M168" t="e">
        <f>VLOOKUP(L168,old!L:L,1,0)</f>
        <v>#N/A</v>
      </c>
    </row>
    <row r="169" spans="1:13" x14ac:dyDescent="0.2">
      <c r="A169" t="s">
        <v>311</v>
      </c>
      <c r="B169" t="s">
        <v>215</v>
      </c>
      <c r="C169" t="s">
        <v>216</v>
      </c>
      <c r="D169" t="s">
        <v>212</v>
      </c>
      <c r="E169" t="s">
        <v>220</v>
      </c>
      <c r="F169">
        <v>102309</v>
      </c>
      <c r="G169" t="s">
        <v>224</v>
      </c>
      <c r="H169" t="s">
        <v>231</v>
      </c>
      <c r="I169" t="s">
        <v>235</v>
      </c>
      <c r="J169" t="s">
        <v>238</v>
      </c>
      <c r="K169" t="s">
        <v>242</v>
      </c>
      <c r="L169" t="s">
        <v>493</v>
      </c>
      <c r="M169" t="e">
        <f>VLOOKUP(L169,old!L:L,1,0)</f>
        <v>#N/A</v>
      </c>
    </row>
    <row r="170" spans="1:13" x14ac:dyDescent="0.2">
      <c r="A170" t="s">
        <v>312</v>
      </c>
      <c r="B170" t="s">
        <v>211</v>
      </c>
      <c r="C170" t="s">
        <v>216</v>
      </c>
      <c r="D170" t="s">
        <v>211</v>
      </c>
      <c r="E170" t="s">
        <v>222</v>
      </c>
      <c r="F170">
        <v>102200</v>
      </c>
      <c r="G170" t="s">
        <v>231</v>
      </c>
      <c r="H170" t="s">
        <v>233</v>
      </c>
      <c r="I170" t="s">
        <v>235</v>
      </c>
      <c r="J170" t="s">
        <v>239</v>
      </c>
      <c r="K170" t="s">
        <v>242</v>
      </c>
      <c r="L170" t="s">
        <v>494</v>
      </c>
      <c r="M170" t="e">
        <f>VLOOKUP(L170,old!L:L,1,0)</f>
        <v>#N/A</v>
      </c>
    </row>
    <row r="171" spans="1:13" x14ac:dyDescent="0.2">
      <c r="A171" t="s">
        <v>313</v>
      </c>
      <c r="B171" t="s">
        <v>212</v>
      </c>
      <c r="C171" t="s">
        <v>216</v>
      </c>
      <c r="D171" t="s">
        <v>215</v>
      </c>
      <c r="E171" t="s">
        <v>222</v>
      </c>
      <c r="F171">
        <v>101567</v>
      </c>
      <c r="G171" t="s">
        <v>228</v>
      </c>
      <c r="H171" t="s">
        <v>231</v>
      </c>
      <c r="I171" t="s">
        <v>235</v>
      </c>
      <c r="J171" t="s">
        <v>237</v>
      </c>
      <c r="K171" t="s">
        <v>240</v>
      </c>
      <c r="L171" t="s">
        <v>495</v>
      </c>
      <c r="M171" t="e">
        <f>VLOOKUP(L171,old!L:L,1,0)</f>
        <v>#N/A</v>
      </c>
    </row>
    <row r="172" spans="1:13" x14ac:dyDescent="0.2">
      <c r="A172" t="s">
        <v>314</v>
      </c>
      <c r="B172" t="s">
        <v>214</v>
      </c>
      <c r="C172" t="s">
        <v>219</v>
      </c>
      <c r="D172" t="s">
        <v>214</v>
      </c>
      <c r="E172" t="s">
        <v>221</v>
      </c>
      <c r="F172">
        <v>103542</v>
      </c>
      <c r="G172" t="s">
        <v>228</v>
      </c>
      <c r="H172" t="s">
        <v>230</v>
      </c>
      <c r="I172" t="s">
        <v>235</v>
      </c>
      <c r="J172" t="s">
        <v>238</v>
      </c>
      <c r="K172" t="s">
        <v>242</v>
      </c>
      <c r="L172" t="s">
        <v>496</v>
      </c>
      <c r="M172" t="e">
        <f>VLOOKUP(L172,old!L:L,1,0)</f>
        <v>#N/A</v>
      </c>
    </row>
    <row r="173" spans="1:13" x14ac:dyDescent="0.2">
      <c r="A173" t="s">
        <v>315</v>
      </c>
      <c r="B173" t="s">
        <v>215</v>
      </c>
      <c r="C173" t="s">
        <v>216</v>
      </c>
      <c r="D173" t="s">
        <v>214</v>
      </c>
      <c r="E173" t="s">
        <v>221</v>
      </c>
      <c r="F173">
        <v>102343</v>
      </c>
      <c r="G173" t="s">
        <v>224</v>
      </c>
      <c r="H173" t="s">
        <v>228</v>
      </c>
      <c r="I173" t="s">
        <v>235</v>
      </c>
      <c r="J173" t="s">
        <v>237</v>
      </c>
      <c r="K173" t="s">
        <v>243</v>
      </c>
      <c r="L173" t="s">
        <v>497</v>
      </c>
      <c r="M173" t="e">
        <f>VLOOKUP(L173,old!L:L,1,0)</f>
        <v>#N/A</v>
      </c>
    </row>
    <row r="174" spans="1:13" x14ac:dyDescent="0.2">
      <c r="A174" t="s">
        <v>316</v>
      </c>
      <c r="B174" t="s">
        <v>214</v>
      </c>
      <c r="C174" t="s">
        <v>216</v>
      </c>
      <c r="D174" t="s">
        <v>211</v>
      </c>
      <c r="E174" t="s">
        <v>222</v>
      </c>
      <c r="F174">
        <v>102379</v>
      </c>
      <c r="G174" t="s">
        <v>231</v>
      </c>
      <c r="H174" t="s">
        <v>232</v>
      </c>
      <c r="I174" t="s">
        <v>235</v>
      </c>
      <c r="J174" t="s">
        <v>237</v>
      </c>
      <c r="K174" t="s">
        <v>241</v>
      </c>
      <c r="L174" t="s">
        <v>498</v>
      </c>
      <c r="M174" t="e">
        <f>VLOOKUP(L174,old!L:L,1,0)</f>
        <v>#N/A</v>
      </c>
    </row>
    <row r="175" spans="1:13" x14ac:dyDescent="0.2">
      <c r="A175" t="s">
        <v>317</v>
      </c>
      <c r="B175" t="s">
        <v>214</v>
      </c>
      <c r="C175" t="s">
        <v>219</v>
      </c>
      <c r="D175" t="s">
        <v>211</v>
      </c>
      <c r="E175" t="s">
        <v>223</v>
      </c>
      <c r="F175">
        <v>102473</v>
      </c>
      <c r="G175" t="s">
        <v>229</v>
      </c>
      <c r="H175" t="s">
        <v>226</v>
      </c>
      <c r="I175" t="s">
        <v>235</v>
      </c>
      <c r="J175" t="s">
        <v>237</v>
      </c>
      <c r="K175" t="s">
        <v>243</v>
      </c>
      <c r="L175" t="s">
        <v>499</v>
      </c>
      <c r="M175" t="e">
        <f>VLOOKUP(L175,old!L:L,1,0)</f>
        <v>#N/A</v>
      </c>
    </row>
    <row r="176" spans="1:13" x14ac:dyDescent="0.2">
      <c r="A176" t="s">
        <v>318</v>
      </c>
      <c r="B176" t="s">
        <v>214</v>
      </c>
      <c r="C176" t="s">
        <v>218</v>
      </c>
      <c r="D176" t="s">
        <v>214</v>
      </c>
      <c r="E176" t="s">
        <v>222</v>
      </c>
      <c r="F176">
        <v>101677</v>
      </c>
      <c r="G176" t="s">
        <v>225</v>
      </c>
      <c r="H176" t="s">
        <v>230</v>
      </c>
      <c r="I176" t="s">
        <v>235</v>
      </c>
      <c r="J176" t="s">
        <v>239</v>
      </c>
      <c r="K176" t="s">
        <v>241</v>
      </c>
      <c r="L176" t="s">
        <v>500</v>
      </c>
      <c r="M176" t="e">
        <f>VLOOKUP(L176,old!L:L,1,0)</f>
        <v>#N/A</v>
      </c>
    </row>
    <row r="177" spans="1:13" x14ac:dyDescent="0.2">
      <c r="A177" t="s">
        <v>319</v>
      </c>
      <c r="B177" t="s">
        <v>211</v>
      </c>
      <c r="C177" t="s">
        <v>218</v>
      </c>
      <c r="D177" t="s">
        <v>214</v>
      </c>
      <c r="E177" t="s">
        <v>223</v>
      </c>
      <c r="F177">
        <v>101667</v>
      </c>
      <c r="G177" t="s">
        <v>233</v>
      </c>
      <c r="H177" t="s">
        <v>224</v>
      </c>
      <c r="I177" t="s">
        <v>235</v>
      </c>
      <c r="J177" t="s">
        <v>237</v>
      </c>
      <c r="K177" t="s">
        <v>240</v>
      </c>
      <c r="L177" t="s">
        <v>501</v>
      </c>
      <c r="M177" t="e">
        <f>VLOOKUP(L177,old!L:L,1,0)</f>
        <v>#N/A</v>
      </c>
    </row>
    <row r="178" spans="1:13" x14ac:dyDescent="0.2">
      <c r="A178" t="s">
        <v>320</v>
      </c>
      <c r="B178" t="s">
        <v>211</v>
      </c>
      <c r="C178" t="s">
        <v>217</v>
      </c>
      <c r="D178" t="s">
        <v>213</v>
      </c>
      <c r="E178" t="s">
        <v>220</v>
      </c>
      <c r="F178">
        <v>103711</v>
      </c>
      <c r="G178" t="s">
        <v>234</v>
      </c>
      <c r="H178" t="s">
        <v>227</v>
      </c>
      <c r="I178" t="s">
        <v>235</v>
      </c>
      <c r="J178" t="s">
        <v>239</v>
      </c>
      <c r="K178" t="s">
        <v>241</v>
      </c>
      <c r="L178" t="s">
        <v>502</v>
      </c>
      <c r="M178" t="e">
        <f>VLOOKUP(L178,old!L:L,1,0)</f>
        <v>#N/A</v>
      </c>
    </row>
    <row r="179" spans="1:13" x14ac:dyDescent="0.2">
      <c r="A179" t="s">
        <v>321</v>
      </c>
      <c r="B179" t="s">
        <v>214</v>
      </c>
      <c r="C179" t="s">
        <v>219</v>
      </c>
      <c r="D179" t="s">
        <v>214</v>
      </c>
      <c r="E179" t="s">
        <v>220</v>
      </c>
      <c r="F179">
        <v>102100</v>
      </c>
      <c r="G179" t="s">
        <v>227</v>
      </c>
      <c r="H179" t="s">
        <v>229</v>
      </c>
      <c r="I179" t="s">
        <v>235</v>
      </c>
      <c r="J179" t="s">
        <v>237</v>
      </c>
      <c r="K179" t="s">
        <v>242</v>
      </c>
      <c r="L179" t="s">
        <v>503</v>
      </c>
      <c r="M179" t="e">
        <f>VLOOKUP(L179,old!L:L,1,0)</f>
        <v>#N/A</v>
      </c>
    </row>
    <row r="180" spans="1:13" x14ac:dyDescent="0.2">
      <c r="A180" t="s">
        <v>322</v>
      </c>
      <c r="B180" t="s">
        <v>211</v>
      </c>
      <c r="C180" t="s">
        <v>218</v>
      </c>
      <c r="D180" t="s">
        <v>214</v>
      </c>
      <c r="E180" t="s">
        <v>220</v>
      </c>
      <c r="F180">
        <v>102924</v>
      </c>
      <c r="G180" t="s">
        <v>230</v>
      </c>
      <c r="H180" t="s">
        <v>234</v>
      </c>
      <c r="I180" t="s">
        <v>235</v>
      </c>
      <c r="J180" t="s">
        <v>239</v>
      </c>
      <c r="K180" t="s">
        <v>242</v>
      </c>
      <c r="L180" t="s">
        <v>504</v>
      </c>
      <c r="M180" t="e">
        <f>VLOOKUP(L180,old!L:L,1,0)</f>
        <v>#N/A</v>
      </c>
    </row>
    <row r="181" spans="1:13" x14ac:dyDescent="0.2">
      <c r="A181" t="s">
        <v>323</v>
      </c>
      <c r="B181" t="s">
        <v>211</v>
      </c>
      <c r="C181" t="s">
        <v>216</v>
      </c>
      <c r="D181" t="s">
        <v>214</v>
      </c>
      <c r="E181" t="s">
        <v>218</v>
      </c>
      <c r="F181">
        <v>101042</v>
      </c>
      <c r="G181" t="s">
        <v>227</v>
      </c>
      <c r="H181" t="s">
        <v>227</v>
      </c>
      <c r="I181" t="s">
        <v>235</v>
      </c>
      <c r="J181" t="s">
        <v>237</v>
      </c>
      <c r="K181" t="s">
        <v>243</v>
      </c>
      <c r="L181" t="s">
        <v>505</v>
      </c>
      <c r="M181" t="e">
        <f>VLOOKUP(L181,old!L:L,1,0)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sudeshna bhattacharya</cp:lastModifiedBy>
  <dcterms:created xsi:type="dcterms:W3CDTF">2025-11-06T16:35:44Z</dcterms:created>
  <dcterms:modified xsi:type="dcterms:W3CDTF">2025-11-06T17:01:12Z</dcterms:modified>
</cp:coreProperties>
</file>