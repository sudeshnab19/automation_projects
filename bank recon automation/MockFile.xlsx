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eshnab/Projects/recon_automation/"/>
    </mc:Choice>
  </mc:AlternateContent>
  <xr:revisionPtr revIDLastSave="0" documentId="13_ncr:1_{0FEDFB7D-B7FF-5944-9918-1F76626E88F2}" xr6:coauthVersionLast="47" xr6:coauthVersionMax="47" xr10:uidLastSave="{00000000-0000-0000-0000-000000000000}"/>
  <bookViews>
    <workbookView xWindow="0" yWindow="0" windowWidth="28800" windowHeight="18000" activeTab="2" xr2:uid="{AE7D3086-53BD-B248-8813-52E6ED31166B}"/>
  </bookViews>
  <sheets>
    <sheet name="Bank Statement" sheetId="1" r:id="rId1"/>
    <sheet name="GL" sheetId="3" r:id="rId2"/>
    <sheet name="Reconciliation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2" i="2"/>
  <c r="G3" i="2"/>
  <c r="G4" i="2"/>
  <c r="G5" i="2"/>
  <c r="G6" i="2"/>
  <c r="G7" i="2"/>
  <c r="G8" i="2"/>
  <c r="G9" i="2"/>
  <c r="G10" i="2"/>
  <c r="G2" i="2"/>
  <c r="F3" i="2"/>
  <c r="F4" i="2"/>
  <c r="F5" i="2"/>
  <c r="F6" i="2"/>
  <c r="F7" i="2"/>
  <c r="F8" i="2"/>
  <c r="F9" i="2"/>
  <c r="F10" i="2"/>
  <c r="F2" i="2"/>
  <c r="E3" i="2"/>
  <c r="E4" i="2"/>
  <c r="E5" i="2"/>
  <c r="E6" i="2"/>
  <c r="E7" i="2"/>
  <c r="E8" i="2"/>
  <c r="E9" i="2"/>
  <c r="E10" i="2"/>
  <c r="E2" i="2"/>
</calcChain>
</file>

<file path=xl/sharedStrings.xml><?xml version="1.0" encoding="utf-8"?>
<sst xmlns="http://schemas.openxmlformats.org/spreadsheetml/2006/main" count="69" uniqueCount="35">
  <si>
    <t>Date</t>
  </si>
  <si>
    <t>Amount (INR)</t>
  </si>
  <si>
    <t>Reference</t>
  </si>
  <si>
    <t>Description</t>
  </si>
  <si>
    <t>REF123456</t>
  </si>
  <si>
    <t>Salary Credit</t>
  </si>
  <si>
    <t>REF345678</t>
  </si>
  <si>
    <t>Electricity Bill - Tata</t>
  </si>
  <si>
    <t>REF120045</t>
  </si>
  <si>
    <t>Phone Bill - Airtel</t>
  </si>
  <si>
    <t>REF784512</t>
  </si>
  <si>
    <t>Rent Payment - May</t>
  </si>
  <si>
    <t>REF741258</t>
  </si>
  <si>
    <t>Client Payment Inv#205</t>
  </si>
  <si>
    <t>REF698745</t>
  </si>
  <si>
    <t>Internet Charges - ACT</t>
  </si>
  <si>
    <t>REF963258</t>
  </si>
  <si>
    <t>Office Supplies - Staples</t>
  </si>
  <si>
    <t>REF487512</t>
  </si>
  <si>
    <t>Zomato Food Reimbursement</t>
  </si>
  <si>
    <t>Salary A/c – April</t>
  </si>
  <si>
    <t>Power Utility - Tata</t>
  </si>
  <si>
    <t>Airtel Recharge</t>
  </si>
  <si>
    <t>Rent Transfer for May</t>
  </si>
  <si>
    <t>Client Receipt – Invoice 205</t>
  </si>
  <si>
    <t>Broadband – ACT Fibernet</t>
  </si>
  <si>
    <t>Supplies – Stationery</t>
  </si>
  <si>
    <t>Zomato – Team Lunch</t>
  </si>
  <si>
    <t>REF159357</t>
  </si>
  <si>
    <t>Miscellaneous Expense</t>
  </si>
  <si>
    <t>matched reference</t>
  </si>
  <si>
    <t>Exact Match</t>
  </si>
  <si>
    <t>Fuzzymatch</t>
  </si>
  <si>
    <t>recurring pattern</t>
  </si>
  <si>
    <t>Bank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</si>
</sst>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19CE-4CBB-9843-95D9-F0B4E74E8F0C}">
  <dimension ref="A1:D9"/>
  <sheetViews>
    <sheetView workbookViewId="0">
      <selection activeCell="D5" sqref="D5"/>
    </sheetView>
  </sheetViews>
  <sheetFormatPr baseColWidth="10" defaultRowHeight="16" x14ac:dyDescent="0.2"/>
  <cols>
    <col min="2" max="2" width="12.33203125" bestFit="1" customWidth="1"/>
    <col min="3" max="3" width="10.33203125" bestFit="1" customWidth="1"/>
    <col min="4" max="4" width="25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45778</v>
      </c>
      <c r="B2" s="3">
        <v>50000</v>
      </c>
      <c r="C2" t="s">
        <v>4</v>
      </c>
      <c r="D2" t="s">
        <v>5</v>
      </c>
    </row>
    <row r="3" spans="1:4" x14ac:dyDescent="0.2">
      <c r="A3" s="2">
        <v>45780</v>
      </c>
      <c r="B3" s="3">
        <v>-5000</v>
      </c>
      <c r="C3" t="s">
        <v>6</v>
      </c>
      <c r="D3" t="s">
        <v>7</v>
      </c>
    </row>
    <row r="4" spans="1:4" x14ac:dyDescent="0.2">
      <c r="A4" s="2">
        <v>45782</v>
      </c>
      <c r="B4" s="3">
        <v>-1200</v>
      </c>
      <c r="C4" t="s">
        <v>8</v>
      </c>
      <c r="D4" t="s">
        <v>9</v>
      </c>
    </row>
    <row r="5" spans="1:4" x14ac:dyDescent="0.2">
      <c r="A5" s="2">
        <v>45785</v>
      </c>
      <c r="B5" s="3">
        <v>-10000</v>
      </c>
      <c r="C5" t="s">
        <v>10</v>
      </c>
      <c r="D5" t="s">
        <v>11</v>
      </c>
    </row>
    <row r="6" spans="1:4" x14ac:dyDescent="0.2">
      <c r="A6" s="2">
        <v>45792</v>
      </c>
      <c r="B6" s="3">
        <v>75000</v>
      </c>
      <c r="C6" t="s">
        <v>12</v>
      </c>
      <c r="D6" t="s">
        <v>13</v>
      </c>
    </row>
    <row r="7" spans="1:4" x14ac:dyDescent="0.2">
      <c r="A7" s="2">
        <v>45798</v>
      </c>
      <c r="B7" s="3">
        <v>-1500</v>
      </c>
      <c r="C7" t="s">
        <v>14</v>
      </c>
      <c r="D7" t="s">
        <v>15</v>
      </c>
    </row>
    <row r="8" spans="1:4" x14ac:dyDescent="0.2">
      <c r="A8" s="2">
        <v>45802</v>
      </c>
      <c r="B8" s="3">
        <v>-8000</v>
      </c>
      <c r="C8" t="s">
        <v>16</v>
      </c>
      <c r="D8" t="s">
        <v>17</v>
      </c>
    </row>
    <row r="9" spans="1:4" x14ac:dyDescent="0.2">
      <c r="A9" s="2">
        <v>45807</v>
      </c>
      <c r="B9" s="3">
        <v>-2500</v>
      </c>
      <c r="C9" t="s">
        <v>18</v>
      </c>
      <c r="D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8B70-14C8-0547-9660-C74DA93790FA}">
  <dimension ref="A1:D10"/>
  <sheetViews>
    <sheetView workbookViewId="0">
      <selection sqref="A1:D10"/>
    </sheetView>
  </sheetViews>
  <sheetFormatPr baseColWidth="10" defaultRowHeight="16" x14ac:dyDescent="0.2"/>
  <cols>
    <col min="1" max="1" width="8.5" bestFit="1" customWidth="1"/>
    <col min="2" max="2" width="12.33203125" bestFit="1" customWidth="1"/>
    <col min="3" max="3" width="10.33203125" bestFit="1" customWidth="1"/>
    <col min="4" max="4" width="23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45778</v>
      </c>
      <c r="B2" s="3">
        <v>50000</v>
      </c>
      <c r="C2" t="s">
        <v>4</v>
      </c>
      <c r="D2" t="s">
        <v>20</v>
      </c>
    </row>
    <row r="3" spans="1:4" x14ac:dyDescent="0.2">
      <c r="A3" s="2">
        <v>45780</v>
      </c>
      <c r="B3" s="3">
        <v>-5000</v>
      </c>
      <c r="C3" t="s">
        <v>6</v>
      </c>
      <c r="D3" t="s">
        <v>21</v>
      </c>
    </row>
    <row r="4" spans="1:4" x14ac:dyDescent="0.2">
      <c r="A4" s="2">
        <v>45782</v>
      </c>
      <c r="B4" s="3">
        <v>-1250</v>
      </c>
      <c r="C4" t="s">
        <v>8</v>
      </c>
      <c r="D4" t="s">
        <v>22</v>
      </c>
    </row>
    <row r="5" spans="1:4" x14ac:dyDescent="0.2">
      <c r="A5" s="2">
        <v>45785</v>
      </c>
      <c r="B5" s="3">
        <v>-10000</v>
      </c>
      <c r="C5" t="s">
        <v>10</v>
      </c>
      <c r="D5" t="s">
        <v>23</v>
      </c>
    </row>
    <row r="6" spans="1:4" x14ac:dyDescent="0.2">
      <c r="A6" s="2">
        <v>45792</v>
      </c>
      <c r="B6" s="3">
        <v>75000</v>
      </c>
      <c r="C6" t="s">
        <v>12</v>
      </c>
      <c r="D6" t="s">
        <v>24</v>
      </c>
    </row>
    <row r="7" spans="1:4" x14ac:dyDescent="0.2">
      <c r="A7" s="2">
        <v>45798</v>
      </c>
      <c r="B7" s="3">
        <v>-1500</v>
      </c>
      <c r="C7" t="s">
        <v>14</v>
      </c>
      <c r="D7" t="s">
        <v>25</v>
      </c>
    </row>
    <row r="8" spans="1:4" x14ac:dyDescent="0.2">
      <c r="A8" s="2">
        <v>45802</v>
      </c>
      <c r="B8" s="3">
        <v>-7800</v>
      </c>
      <c r="C8" t="s">
        <v>16</v>
      </c>
      <c r="D8" t="s">
        <v>26</v>
      </c>
    </row>
    <row r="9" spans="1:4" x14ac:dyDescent="0.2">
      <c r="A9" s="2">
        <v>45807</v>
      </c>
      <c r="B9" s="3">
        <v>-2500</v>
      </c>
      <c r="C9" t="s">
        <v>18</v>
      </c>
      <c r="D9" t="s">
        <v>27</v>
      </c>
    </row>
    <row r="10" spans="1:4" x14ac:dyDescent="0.2">
      <c r="A10" s="2">
        <v>45808</v>
      </c>
      <c r="B10" s="3">
        <v>-3000</v>
      </c>
      <c r="C10" t="s">
        <v>28</v>
      </c>
      <c r="D10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C81B-2CA3-7344-BF4D-884FB690BC05}">
  <dimension ref="A1:I10"/>
  <sheetViews>
    <sheetView tabSelected="1" workbookViewId="0">
      <selection activeCell="I2" sqref="I2"/>
    </sheetView>
  </sheetViews>
  <sheetFormatPr baseColWidth="10" defaultRowHeight="16" x14ac:dyDescent="0.2"/>
  <cols>
    <col min="1" max="1" width="8.5" bestFit="1" customWidth="1"/>
    <col min="2" max="2" width="12.33203125" bestFit="1" customWidth="1"/>
    <col min="3" max="3" width="10.33203125" bestFit="1" customWidth="1"/>
    <col min="4" max="4" width="23.5" bestFit="1" customWidth="1"/>
    <col min="5" max="5" width="17" bestFit="1" customWidth="1"/>
    <col min="6" max="6" width="11.1640625" bestFit="1" customWidth="1"/>
    <col min="8" max="8" width="25.1640625" bestFit="1" customWidth="1"/>
    <col min="9" max="9" width="1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34</v>
      </c>
      <c r="I1" s="1" t="s">
        <v>33</v>
      </c>
    </row>
    <row r="2" spans="1:9" x14ac:dyDescent="0.2">
      <c r="A2" s="2">
        <v>45778</v>
      </c>
      <c r="B2" s="3">
        <v>50000</v>
      </c>
      <c r="C2" t="s">
        <v>4</v>
      </c>
      <c r="D2" t="s">
        <v>20</v>
      </c>
      <c r="E2" t="str">
        <f>VLOOKUP(C2,'Bank Statement'!$C$1:$C$9,1,0)</f>
        <v>REF123456</v>
      </c>
      <c r="F2">
        <f>_xlfn.XLOOKUP(E2,'Bank Statement'!$C$1:$C$9,'Bank Statement'!$B$1:$B$9,1,0)</f>
        <v>50000</v>
      </c>
      <c r="G2" s="3">
        <f>F2-B2</f>
        <v>0</v>
      </c>
      <c r="H2" t="str">
        <f>_xlfn.XLOOKUP(E2,'Bank Statement'!$C$1:$C$9,'Bank Statement'!$D$1:$D$9,1,0)</f>
        <v>Salary Credit</v>
      </c>
    </row>
    <row r="3" spans="1:9" x14ac:dyDescent="0.2">
      <c r="A3" s="2">
        <v>45780</v>
      </c>
      <c r="B3" s="3">
        <v>-5000</v>
      </c>
      <c r="C3" t="s">
        <v>6</v>
      </c>
      <c r="D3" t="s">
        <v>21</v>
      </c>
      <c r="E3" t="str">
        <f>VLOOKUP(C3,'Bank Statement'!$C$1:$C$9,1,0)</f>
        <v>REF345678</v>
      </c>
      <c r="F3">
        <f>_xlfn.XLOOKUP(E3,'Bank Statement'!$C$1:$C$9,'Bank Statement'!$B$1:$B$9,1,0)</f>
        <v>-5000</v>
      </c>
      <c r="G3" s="3">
        <f t="shared" ref="G3:G10" si="0">F3-B3</f>
        <v>0</v>
      </c>
      <c r="H3" t="str">
        <f>_xlfn.XLOOKUP(E3,'Bank Statement'!$C$1:$C$9,'Bank Statement'!$D$1:$D$9,1,0)</f>
        <v>Electricity Bill - Tata</v>
      </c>
    </row>
    <row r="4" spans="1:9" x14ac:dyDescent="0.2">
      <c r="A4" s="2">
        <v>45782</v>
      </c>
      <c r="B4" s="3">
        <v>-1250</v>
      </c>
      <c r="C4" t="s">
        <v>8</v>
      </c>
      <c r="D4" t="s">
        <v>22</v>
      </c>
      <c r="E4" t="str">
        <f>VLOOKUP(C4,'Bank Statement'!$C$1:$C$9,1,0)</f>
        <v>REF120045</v>
      </c>
      <c r="F4">
        <f>_xlfn.XLOOKUP(E4,'Bank Statement'!$C$1:$C$9,'Bank Statement'!$B$1:$B$9,1,0)</f>
        <v>-1200</v>
      </c>
      <c r="G4" s="3">
        <f t="shared" si="0"/>
        <v>50</v>
      </c>
      <c r="H4" t="str">
        <f>_xlfn.XLOOKUP(E4,'Bank Statement'!$C$1:$C$9,'Bank Statement'!$D$1:$D$9,1,0)</f>
        <v>Phone Bill - Airtel</v>
      </c>
    </row>
    <row r="5" spans="1:9" x14ac:dyDescent="0.2">
      <c r="A5" s="2">
        <v>45785</v>
      </c>
      <c r="B5" s="3">
        <v>-10000</v>
      </c>
      <c r="C5" t="s">
        <v>10</v>
      </c>
      <c r="D5" t="s">
        <v>23</v>
      </c>
      <c r="E5" t="str">
        <f>VLOOKUP(C5,'Bank Statement'!$C$1:$C$9,1,0)</f>
        <v>REF784512</v>
      </c>
      <c r="F5">
        <f>_xlfn.XLOOKUP(E5,'Bank Statement'!$C$1:$C$9,'Bank Statement'!$B$1:$B$9,1,0)</f>
        <v>-10000</v>
      </c>
      <c r="G5" s="3">
        <f t="shared" si="0"/>
        <v>0</v>
      </c>
      <c r="H5" t="str">
        <f>_xlfn.XLOOKUP(E5,'Bank Statement'!$C$1:$C$9,'Bank Statement'!$D$1:$D$9,1,0)</f>
        <v>Rent Payment - May</v>
      </c>
    </row>
    <row r="6" spans="1:9" x14ac:dyDescent="0.2">
      <c r="A6" s="2">
        <v>45792</v>
      </c>
      <c r="B6" s="3">
        <v>75000</v>
      </c>
      <c r="C6" t="s">
        <v>12</v>
      </c>
      <c r="D6" t="s">
        <v>24</v>
      </c>
      <c r="E6" t="str">
        <f>VLOOKUP(C6,'Bank Statement'!$C$1:$C$9,1,0)</f>
        <v>REF741258</v>
      </c>
      <c r="F6">
        <f>_xlfn.XLOOKUP(E6,'Bank Statement'!$C$1:$C$9,'Bank Statement'!$B$1:$B$9,1,0)</f>
        <v>75000</v>
      </c>
      <c r="G6" s="3">
        <f t="shared" si="0"/>
        <v>0</v>
      </c>
      <c r="H6" t="str">
        <f>_xlfn.XLOOKUP(E6,'Bank Statement'!$C$1:$C$9,'Bank Statement'!$D$1:$D$9,1,0)</f>
        <v>Client Payment Inv#205</v>
      </c>
    </row>
    <row r="7" spans="1:9" x14ac:dyDescent="0.2">
      <c r="A7" s="2">
        <v>45798</v>
      </c>
      <c r="B7" s="3">
        <v>-1500</v>
      </c>
      <c r="C7" t="s">
        <v>14</v>
      </c>
      <c r="D7" t="s">
        <v>25</v>
      </c>
      <c r="E7" t="str">
        <f>VLOOKUP(C7,'Bank Statement'!$C$1:$C$9,1,0)</f>
        <v>REF698745</v>
      </c>
      <c r="F7">
        <f>_xlfn.XLOOKUP(E7,'Bank Statement'!$C$1:$C$9,'Bank Statement'!$B$1:$B$9,1,0)</f>
        <v>-1500</v>
      </c>
      <c r="G7" s="3">
        <f t="shared" si="0"/>
        <v>0</v>
      </c>
      <c r="H7" t="str">
        <f>_xlfn.XLOOKUP(E7,'Bank Statement'!$C$1:$C$9,'Bank Statement'!$D$1:$D$9,1,0)</f>
        <v>Internet Charges - ACT</v>
      </c>
    </row>
    <row r="8" spans="1:9" x14ac:dyDescent="0.2">
      <c r="A8" s="2">
        <v>45802</v>
      </c>
      <c r="B8" s="3">
        <v>-7800</v>
      </c>
      <c r="C8" t="s">
        <v>16</v>
      </c>
      <c r="D8" t="s">
        <v>26</v>
      </c>
      <c r="E8" t="str">
        <f>VLOOKUP(C8,'Bank Statement'!$C$1:$C$9,1,0)</f>
        <v>REF963258</v>
      </c>
      <c r="F8">
        <f>_xlfn.XLOOKUP(E8,'Bank Statement'!$C$1:$C$9,'Bank Statement'!$B$1:$B$9,1,0)</f>
        <v>-8000</v>
      </c>
      <c r="G8" s="3">
        <f t="shared" si="0"/>
        <v>-200</v>
      </c>
      <c r="H8" t="str">
        <f>_xlfn.XLOOKUP(E8,'Bank Statement'!$C$1:$C$9,'Bank Statement'!$D$1:$D$9,1,0)</f>
        <v>Office Supplies - Staples</v>
      </c>
    </row>
    <row r="9" spans="1:9" x14ac:dyDescent="0.2">
      <c r="A9" s="2">
        <v>45807</v>
      </c>
      <c r="B9" s="3">
        <v>-2500</v>
      </c>
      <c r="C9" t="s">
        <v>18</v>
      </c>
      <c r="D9" t="s">
        <v>27</v>
      </c>
      <c r="E9" t="str">
        <f>VLOOKUP(C9,'Bank Statement'!$C$1:$C$9,1,0)</f>
        <v>REF487512</v>
      </c>
      <c r="F9">
        <f>_xlfn.XLOOKUP(E9,'Bank Statement'!$C$1:$C$9,'Bank Statement'!$B$1:$B$9,1,0)</f>
        <v>-2500</v>
      </c>
      <c r="G9" s="3">
        <f t="shared" si="0"/>
        <v>0</v>
      </c>
      <c r="H9" t="str">
        <f>_xlfn.XLOOKUP(E9,'Bank Statement'!$C$1:$C$9,'Bank Statement'!$D$1:$D$9,1,0)</f>
        <v>Zomato Food Reimbursement</v>
      </c>
    </row>
    <row r="10" spans="1:9" x14ac:dyDescent="0.2">
      <c r="A10" s="2">
        <v>45808</v>
      </c>
      <c r="B10" s="3">
        <v>-3000</v>
      </c>
      <c r="C10" t="s">
        <v>28</v>
      </c>
      <c r="D10" t="s">
        <v>29</v>
      </c>
      <c r="E10" t="e">
        <f>VLOOKUP(C10,'Bank Statement'!$C$1:$C$9,1,0)</f>
        <v>#N/A</v>
      </c>
      <c r="F10" t="e">
        <f>_xlfn.XLOOKUP(E10,'Bank Statement'!$C$1:$C$9,'Bank Statement'!$B$1:$B$9,1,0)</f>
        <v>#N/A</v>
      </c>
      <c r="G10" s="3" t="e">
        <f t="shared" si="0"/>
        <v>#N/A</v>
      </c>
      <c r="H10" t="e">
        <f>_xlfn.XLOOKUP(E10,'Bank Statement'!$C$1:$C$9,'Bank Statement'!$D$1:$D$9,1,0)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Statement</vt:lpstr>
      <vt:lpstr>GL</vt:lpstr>
      <vt:lpstr>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bhattacharya</dc:creator>
  <cp:lastModifiedBy>sudeshna bhattacharya</cp:lastModifiedBy>
  <dcterms:created xsi:type="dcterms:W3CDTF">2025-07-23T04:55:49Z</dcterms:created>
  <dcterms:modified xsi:type="dcterms:W3CDTF">2025-07-23T05:31:21Z</dcterms:modified>
</cp:coreProperties>
</file>